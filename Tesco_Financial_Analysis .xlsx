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338756cd5e50ae1e/Documenti/"/>
    </mc:Choice>
  </mc:AlternateContent>
  <xr:revisionPtr revIDLastSave="5" documentId="8_{1A9D8C5D-4155-43E5-AF0B-75ABB2BEB663}" xr6:coauthVersionLast="47" xr6:coauthVersionMax="47" xr10:uidLastSave="{F6CA2399-A3F6-4B60-82AE-7FF6AF96F345}"/>
  <bookViews>
    <workbookView xWindow="-108" yWindow="-108" windowWidth="23256" windowHeight="12456" firstSheet="2" activeTab="5" xr2:uid="{74890E59-27D1-4697-B51D-44FB4B757B8D}"/>
  </bookViews>
  <sheets>
    <sheet name="01_Raw_Data" sheetId="1" r:id="rId1"/>
    <sheet name="02_Performance" sheetId="2" r:id="rId2"/>
    <sheet name="03_Balance_Sheet" sheetId="3" r:id="rId3"/>
    <sheet name="04_Cash_Flow" sheetId="4" r:id="rId4"/>
    <sheet name="05_Ratios" sheetId="5" r:id="rId5"/>
    <sheet name="06_Dashboard" sheetId="6" r:id="rId6"/>
    <sheet name="07_Key_Finding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1" i="4" l="1"/>
  <c r="B11" i="4"/>
  <c r="I7" i="4" s="1"/>
  <c r="D11" i="4"/>
  <c r="K7" i="4" s="1"/>
  <c r="E11" i="4"/>
  <c r="E12" i="4" s="1"/>
  <c r="F11" i="4"/>
  <c r="M7" i="4" s="1"/>
  <c r="C9" i="4"/>
  <c r="J6" i="4" s="1"/>
  <c r="D9" i="4"/>
  <c r="K6" i="4" s="1"/>
  <c r="E9" i="4"/>
  <c r="F9" i="4"/>
  <c r="C6" i="6" s="1"/>
  <c r="B9" i="4"/>
  <c r="I6" i="4" s="1"/>
  <c r="B20" i="3"/>
  <c r="C20" i="3"/>
  <c r="D20" i="3"/>
  <c r="E20" i="3"/>
  <c r="F20" i="3"/>
  <c r="C18" i="3"/>
  <c r="C34" i="3" s="1"/>
  <c r="D18" i="3"/>
  <c r="E18" i="3"/>
  <c r="F18" i="3"/>
  <c r="B18" i="3"/>
  <c r="B34" i="3" s="1"/>
  <c r="B16" i="3"/>
  <c r="C16" i="3"/>
  <c r="D16" i="3"/>
  <c r="E16" i="3"/>
  <c r="F16" i="3"/>
  <c r="C15" i="3"/>
  <c r="D15" i="3"/>
  <c r="E15" i="3"/>
  <c r="F15" i="3"/>
  <c r="B15" i="3"/>
  <c r="B13" i="3"/>
  <c r="C13" i="3"/>
  <c r="D13" i="3"/>
  <c r="E13" i="3"/>
  <c r="F13" i="3"/>
  <c r="C12" i="3"/>
  <c r="D12" i="3"/>
  <c r="E12" i="3"/>
  <c r="F12" i="3"/>
  <c r="B12" i="3"/>
  <c r="C11" i="3"/>
  <c r="D11" i="3"/>
  <c r="E11" i="3"/>
  <c r="F11" i="3"/>
  <c r="B11" i="3"/>
  <c r="B8" i="3"/>
  <c r="C8" i="3"/>
  <c r="D8" i="3"/>
  <c r="E8" i="3"/>
  <c r="F8" i="3"/>
  <c r="J7" i="2"/>
  <c r="K7" i="2"/>
  <c r="L7" i="2"/>
  <c r="M7" i="2"/>
  <c r="I7" i="2"/>
  <c r="J6" i="2"/>
  <c r="K6" i="2"/>
  <c r="L6" i="2"/>
  <c r="M6" i="2"/>
  <c r="I6" i="2"/>
  <c r="C19" i="2"/>
  <c r="D19" i="2"/>
  <c r="E19" i="2"/>
  <c r="F19" i="2"/>
  <c r="B19" i="2"/>
  <c r="C18" i="2"/>
  <c r="D18" i="2"/>
  <c r="E18" i="2"/>
  <c r="F18" i="2"/>
  <c r="B18" i="2"/>
  <c r="C15" i="2"/>
  <c r="D15" i="2"/>
  <c r="D16" i="2" s="1"/>
  <c r="J56" i="2" s="1"/>
  <c r="E15" i="2"/>
  <c r="F15" i="2"/>
  <c r="B15" i="2"/>
  <c r="C12" i="2"/>
  <c r="D12" i="2"/>
  <c r="E12" i="2"/>
  <c r="F12" i="2"/>
  <c r="B12" i="2"/>
  <c r="B30" i="2" s="1"/>
  <c r="C9" i="2"/>
  <c r="D9" i="2"/>
  <c r="E9" i="2"/>
  <c r="F9" i="2"/>
  <c r="F17" i="4" s="1"/>
  <c r="F27" i="5" s="1"/>
  <c r="B9" i="2"/>
  <c r="F33" i="3" l="1"/>
  <c r="F21" i="5" s="1"/>
  <c r="E10" i="2"/>
  <c r="K55" i="2" s="1"/>
  <c r="C28" i="3"/>
  <c r="C16" i="5" s="1"/>
  <c r="D9" i="3"/>
  <c r="C9" i="3"/>
  <c r="C12" i="4"/>
  <c r="D32" i="3"/>
  <c r="D20" i="5" s="1"/>
  <c r="F27" i="3"/>
  <c r="F15" i="5" s="1"/>
  <c r="B27" i="3"/>
  <c r="B15" i="5" s="1"/>
  <c r="C27" i="3"/>
  <c r="K10" i="3" s="1"/>
  <c r="E33" i="3"/>
  <c r="J34" i="3"/>
  <c r="K34" i="3"/>
  <c r="B18" i="4"/>
  <c r="B28" i="5" s="1"/>
  <c r="C18" i="4"/>
  <c r="C28" i="5" s="1"/>
  <c r="F28" i="3"/>
  <c r="F16" i="5" s="1"/>
  <c r="B28" i="3"/>
  <c r="B16" i="5" s="1"/>
  <c r="D26" i="3"/>
  <c r="D14" i="5" s="1"/>
  <c r="F34" i="3"/>
  <c r="E18" i="4"/>
  <c r="E28" i="5" s="1"/>
  <c r="B17" i="4"/>
  <c r="B27" i="5" s="1"/>
  <c r="E13" i="2"/>
  <c r="F16" i="2"/>
  <c r="L56" i="2" s="1"/>
  <c r="F9" i="3"/>
  <c r="E21" i="3"/>
  <c r="C32" i="3"/>
  <c r="C20" i="5" s="1"/>
  <c r="B32" i="3"/>
  <c r="B20" i="5" s="1"/>
  <c r="D27" i="3"/>
  <c r="L10" i="3" s="1"/>
  <c r="B33" i="3"/>
  <c r="J33" i="3" s="1"/>
  <c r="C33" i="3"/>
  <c r="C21" i="5" s="1"/>
  <c r="E34" i="3"/>
  <c r="M34" i="3" s="1"/>
  <c r="E32" i="3"/>
  <c r="E20" i="5" s="1"/>
  <c r="C17" i="4"/>
  <c r="C27" i="5" s="1"/>
  <c r="J7" i="4"/>
  <c r="D33" i="3"/>
  <c r="L33" i="3" s="1"/>
  <c r="F32" i="3"/>
  <c r="F20" i="5" s="1"/>
  <c r="L9" i="3"/>
  <c r="E9" i="3"/>
  <c r="D34" i="3"/>
  <c r="L34" i="3" s="1"/>
  <c r="M6" i="4"/>
  <c r="C15" i="5"/>
  <c r="M33" i="3"/>
  <c r="E21" i="5"/>
  <c r="C22" i="5"/>
  <c r="F22" i="5"/>
  <c r="N34" i="3"/>
  <c r="K33" i="3"/>
  <c r="B6" i="6"/>
  <c r="F16" i="4"/>
  <c r="D18" i="4"/>
  <c r="D28" i="5" s="1"/>
  <c r="A6" i="6"/>
  <c r="E25" i="2"/>
  <c r="E26" i="3"/>
  <c r="N33" i="3"/>
  <c r="E16" i="4"/>
  <c r="E26" i="5" s="1"/>
  <c r="D25" i="2"/>
  <c r="E28" i="3"/>
  <c r="D10" i="4"/>
  <c r="D12" i="4"/>
  <c r="D16" i="4"/>
  <c r="D26" i="5" s="1"/>
  <c r="E17" i="4"/>
  <c r="E27" i="5" s="1"/>
  <c r="F18" i="4"/>
  <c r="F28" i="5" s="1"/>
  <c r="L7" i="4"/>
  <c r="E27" i="3"/>
  <c r="E15" i="5" s="1"/>
  <c r="B7" i="6"/>
  <c r="F10" i="4"/>
  <c r="C7" i="6" s="1"/>
  <c r="F12" i="4"/>
  <c r="E10" i="4"/>
  <c r="L6" i="4"/>
  <c r="C10" i="2"/>
  <c r="I55" i="2" s="1"/>
  <c r="B25" i="2"/>
  <c r="C25" i="2"/>
  <c r="D28" i="3"/>
  <c r="J11" i="3"/>
  <c r="K11" i="3"/>
  <c r="C10" i="4"/>
  <c r="B16" i="4"/>
  <c r="B26" i="5" s="1"/>
  <c r="C16" i="4"/>
  <c r="C26" i="5" s="1"/>
  <c r="D17" i="4"/>
  <c r="D27" i="5" s="1"/>
  <c r="J10" i="3"/>
  <c r="N10" i="3"/>
  <c r="M10" i="3"/>
  <c r="B26" i="3"/>
  <c r="C26" i="3"/>
  <c r="F26" i="3"/>
  <c r="C21" i="3"/>
  <c r="D21" i="3"/>
  <c r="F21" i="3"/>
  <c r="B29" i="2"/>
  <c r="D23" i="2"/>
  <c r="E24" i="2"/>
  <c r="C13" i="2"/>
  <c r="F25" i="2"/>
  <c r="D10" i="2"/>
  <c r="J55" i="2" s="1"/>
  <c r="F13" i="2"/>
  <c r="B31" i="2"/>
  <c r="C16" i="2"/>
  <c r="I56" i="2" s="1"/>
  <c r="D13" i="2"/>
  <c r="E16" i="2"/>
  <c r="K56" i="2" s="1"/>
  <c r="B23" i="2"/>
  <c r="C23" i="2"/>
  <c r="D24" i="2"/>
  <c r="F10" i="2"/>
  <c r="F23" i="2"/>
  <c r="B24" i="2"/>
  <c r="C24" i="2"/>
  <c r="E23" i="2"/>
  <c r="F24" i="2"/>
  <c r="B32" i="2"/>
  <c r="D15" i="5" l="1"/>
  <c r="D21" i="5"/>
  <c r="D22" i="5"/>
  <c r="N11" i="3"/>
  <c r="B22" i="5"/>
  <c r="E22" i="5"/>
  <c r="E32" i="6"/>
  <c r="B21" i="5"/>
  <c r="L31" i="2"/>
  <c r="E8" i="5"/>
  <c r="I32" i="2"/>
  <c r="B9" i="5"/>
  <c r="J31" i="2"/>
  <c r="C8" i="5"/>
  <c r="M33" i="2"/>
  <c r="F10" i="5"/>
  <c r="E31" i="6"/>
  <c r="N9" i="3"/>
  <c r="F14" i="5"/>
  <c r="D16" i="5"/>
  <c r="L11" i="3"/>
  <c r="M11" i="3"/>
  <c r="E16" i="5"/>
  <c r="M9" i="3"/>
  <c r="E14" i="5"/>
  <c r="E33" i="6"/>
  <c r="F26" i="5"/>
  <c r="L55" i="2"/>
  <c r="A7" i="6"/>
  <c r="L32" i="2"/>
  <c r="E9" i="5"/>
  <c r="B14" i="5"/>
  <c r="J9" i="3"/>
  <c r="I33" i="2"/>
  <c r="B10" i="5"/>
  <c r="J32" i="2"/>
  <c r="C9" i="5"/>
  <c r="K32" i="2"/>
  <c r="D9" i="5"/>
  <c r="K31" i="2"/>
  <c r="D8" i="5"/>
  <c r="M32" i="2"/>
  <c r="E34" i="6"/>
  <c r="F9" i="5"/>
  <c r="D7" i="6"/>
  <c r="D6" i="6"/>
  <c r="M31" i="2"/>
  <c r="F8" i="5"/>
  <c r="I31" i="2"/>
  <c r="B8" i="5"/>
  <c r="C14" i="5"/>
  <c r="K9" i="3"/>
  <c r="J33" i="2"/>
  <c r="C10" i="5"/>
  <c r="K33" i="2"/>
  <c r="D10" i="5"/>
  <c r="L33" i="2"/>
  <c r="E10" i="5"/>
</calcChain>
</file>

<file path=xl/sharedStrings.xml><?xml version="1.0" encoding="utf-8"?>
<sst xmlns="http://schemas.openxmlformats.org/spreadsheetml/2006/main" count="247" uniqueCount="144">
  <si>
    <t>TESCO PLC — Financial Analysis</t>
  </si>
  <si>
    <t>Five-Year Financial Performance Analysis</t>
  </si>
  <si>
    <t>Financial Metric</t>
  </si>
  <si>
    <t>FY2025/26</t>
  </si>
  <si>
    <t>FY2024/25</t>
  </si>
  <si>
    <t>FY2023/24</t>
  </si>
  <si>
    <t>FY2022/23</t>
  </si>
  <si>
    <t>INCOME STATEMENT</t>
  </si>
  <si>
    <t>Revenue</t>
  </si>
  <si>
    <t>Operating Profit</t>
  </si>
  <si>
    <t>Profit Before Tax</t>
  </si>
  <si>
    <t>Profit After Tax</t>
  </si>
  <si>
    <t>BALANCE SHEET</t>
  </si>
  <si>
    <t>Total Assets</t>
  </si>
  <si>
    <t>Current Assets</t>
  </si>
  <si>
    <t>Inventory</t>
  </si>
  <si>
    <t>Cash &amp; Cash Equivalents</t>
  </si>
  <si>
    <t>Total Liabilities</t>
  </si>
  <si>
    <t>Current Liabilities</t>
  </si>
  <si>
    <t>Total Equity</t>
  </si>
  <si>
    <t>CASH FLOW</t>
  </si>
  <si>
    <t>Free Cash Flow</t>
  </si>
  <si>
    <t>OTHER METRICS</t>
  </si>
  <si>
    <t>Adjusted Operating Profit</t>
  </si>
  <si>
    <t>Dividend Per Share (pence)</t>
  </si>
  <si>
    <t>Retail Cash Generated from Operating Activities</t>
  </si>
  <si>
    <t>Total Borrowings</t>
  </si>
  <si>
    <t>FY2021/22</t>
  </si>
  <si>
    <t xml:space="preserve">          FY2021/22</t>
  </si>
  <si>
    <t>TESCO PLC — Performance Analysis</t>
  </si>
  <si>
    <t>Five-Year Revenue, Profitability &amp; Growth Analysis</t>
  </si>
  <si>
    <t>£m unless otherwise stated</t>
  </si>
  <si>
    <t>Performance Metric</t>
  </si>
  <si>
    <t>FINANCIAL PERFORMANCE</t>
  </si>
  <si>
    <t>Revenue Growth %</t>
  </si>
  <si>
    <t>Operating Profit Growth %</t>
  </si>
  <si>
    <t>Adjusted Operating Profit Growth %</t>
  </si>
  <si>
    <t>PROFITABILITY</t>
  </si>
  <si>
    <t>Operating Margin %</t>
  </si>
  <si>
    <t>Adjusted Operating Margin %</t>
  </si>
  <si>
    <t>Net Profit Margin %</t>
  </si>
  <si>
    <t>FIVE-YEAR GROWTH</t>
  </si>
  <si>
    <t>Revenue CAGR</t>
  </si>
  <si>
    <t>Operating Profit CAGR</t>
  </si>
  <si>
    <t>Adjusted Operating Profit CAGR</t>
  </si>
  <si>
    <t>Profit After Tax CAGR</t>
  </si>
  <si>
    <t>FY21/22</t>
  </si>
  <si>
    <t>FY22/23</t>
  </si>
  <si>
    <t>FY23/24</t>
  </si>
  <si>
    <t>FY24/25</t>
  </si>
  <si>
    <t>FY25/26</t>
  </si>
  <si>
    <t>Operating Margin</t>
  </si>
  <si>
    <t>Adjusted Operating Margin</t>
  </si>
  <si>
    <t>Net Profit Margin</t>
  </si>
  <si>
    <t>Revenue Growth</t>
  </si>
  <si>
    <t>Adjusted Operating Profit Growth</t>
  </si>
  <si>
    <t>KEY PERFORMANCE INSIGHTS</t>
  </si>
  <si>
    <t>Source: Tesco PLC annual reports and preliminary results; author calculations.</t>
  </si>
  <si>
    <t>TESCO PLC — Balance Sheet Analysis</t>
  </si>
  <si>
    <t>Five-Year Liquidity, Leverage &amp; Financial Position Analysis</t>
  </si>
  <si>
    <t>FINANCIAL POSITION</t>
  </si>
  <si>
    <t>Total Asset Growth %</t>
  </si>
  <si>
    <t>Borrowings Growth %</t>
  </si>
  <si>
    <t>LIQUIDITY</t>
  </si>
  <si>
    <t>Current Ratio</t>
  </si>
  <si>
    <t>Quick Ratio</t>
  </si>
  <si>
    <t>Cash Ratio</t>
  </si>
  <si>
    <t>LEVERAGE &amp; CAPITAL STRUCTURE</t>
  </si>
  <si>
    <t>Borrowings to Equity</t>
  </si>
  <si>
    <t>Liabilities to Assets %</t>
  </si>
  <si>
    <t>Equity Ratio %</t>
  </si>
  <si>
    <t xml:space="preserve">Balance Sheet Metric                    </t>
  </si>
  <si>
    <t>Liabilities to Assets</t>
  </si>
  <si>
    <t>Equity Ratio</t>
  </si>
  <si>
    <t>KEY BALANCE SHEET INSIGHTS</t>
  </si>
  <si>
    <t>TESCO PLC — Cash Flow Analysis</t>
  </si>
  <si>
    <t xml:space="preserve">Five-Year Cash Generation &amp; Investment Analysis </t>
  </si>
  <si>
    <t>Cash Flow Metric</t>
  </si>
  <si>
    <t>CASH FLOW PERFORMANCE</t>
  </si>
  <si>
    <t xml:space="preserve">Retail Free Cash Flow </t>
  </si>
  <si>
    <t>Free Cash Flow Growth %</t>
  </si>
  <si>
    <t>CASH FLOW RATIOS</t>
  </si>
  <si>
    <t>Free Cash Flow Margin %</t>
  </si>
  <si>
    <t>Free Cash Flow to Adjusted Operating Profit %</t>
  </si>
  <si>
    <t>Retail Free Cash Flow</t>
  </si>
  <si>
    <t>KEY CASH FLOW INSIGHTS</t>
  </si>
  <si>
    <t>TESCO PLC — Financial Ratio Analysis</t>
  </si>
  <si>
    <t>Five-Year Financial Health &amp; Ratio Summary</t>
  </si>
  <si>
    <t xml:space="preserve">Ratio </t>
  </si>
  <si>
    <t>LEVERAGE</t>
  </si>
  <si>
    <t>FCF to Adjusted Operating Profit %</t>
  </si>
  <si>
    <t>5-Year Trend</t>
  </si>
  <si>
    <t>Ratio</t>
  </si>
  <si>
    <t>Stable</t>
  </si>
  <si>
    <t>Slight decline</t>
  </si>
  <si>
    <t>Broadly stable</t>
  </si>
  <si>
    <t>Declining</t>
  </si>
  <si>
    <t>Improving</t>
  </si>
  <si>
    <t>Increasing</t>
  </si>
  <si>
    <t>FCF Margin</t>
  </si>
  <si>
    <t>FCF / Adjusted OP</t>
  </si>
  <si>
    <t>FINANCIAL HEALTH SUMMARY</t>
  </si>
  <si>
    <t>Profitability</t>
  </si>
  <si>
    <t>Liquidity</t>
  </si>
  <si>
    <t>Cash Generation</t>
  </si>
  <si>
    <t>TESCO PLC</t>
  </si>
  <si>
    <t>5-YEAR FINANCIAL PERFORMANCE DASHBOARD</t>
  </si>
  <si>
    <t>FY2021/22 — FY2025/26</t>
  </si>
  <si>
    <r>
      <t xml:space="preserve">            </t>
    </r>
    <r>
      <rPr>
        <b/>
        <sz val="14"/>
        <color theme="1"/>
        <rFont val="Aptos Narrow"/>
        <family val="2"/>
        <scheme val="minor"/>
      </rPr>
      <t>FINANCIAL HEALTH — FY2025/26</t>
    </r>
  </si>
  <si>
    <t xml:space="preserve">Borrowings to Equity </t>
  </si>
  <si>
    <t xml:space="preserve">Current Ratio </t>
  </si>
  <si>
    <t>KEY INSIGHTS</t>
  </si>
  <si>
    <t>TESCO PLC — KEY FINDINGS &amp; ANALYST CONCLUSION</t>
  </si>
  <si>
    <t>Five-Year Financial Performance Review | FY2021/22 — FY2025/26</t>
  </si>
  <si>
    <t>EXECUTIVE SUMMARY</t>
  </si>
  <si>
    <t>KEY STRENGTHS</t>
  </si>
  <si>
    <t>RISKS &amp; WATCHPOINTS</t>
  </si>
  <si>
    <t>Five-Year Scorecard</t>
  </si>
  <si>
    <t>Area</t>
  </si>
  <si>
    <t>Five-Year Assessment</t>
  </si>
  <si>
    <t>Positive</t>
  </si>
  <si>
    <t>Recovered / Positive</t>
  </si>
  <si>
    <t>Positive, but below earlier levels</t>
  </si>
  <si>
    <t>Weakened</t>
  </si>
  <si>
    <t>Borrowings</t>
  </si>
  <si>
    <t>Relatively Stable</t>
  </si>
  <si>
    <t>Capital Investment</t>
  </si>
  <si>
    <t>Overall Financial Performance</t>
  </si>
  <si>
    <t>Resilient</t>
  </si>
  <si>
    <t>Final Analyst Conclusion</t>
  </si>
  <si>
    <r>
      <t>Note:</t>
    </r>
    <r>
      <rPr>
        <sz val="12"/>
        <color theme="1"/>
        <rFont val="Aptos Narrow"/>
        <family val="2"/>
        <scheme val="minor"/>
      </rPr>
      <t xml:space="preserve"> This analysis is prepared for educational and portfolio purposes and does not constitute investment advice.</t>
    </r>
  </si>
  <si>
    <t>Capex</t>
  </si>
  <si>
    <t>Capex Growth %</t>
  </si>
  <si>
    <t>Capex to Revenue %</t>
  </si>
  <si>
    <t>Capex to Revenue</t>
  </si>
  <si>
    <t xml:space="preserve">                                  Revenue</t>
  </si>
  <si>
    <t xml:space="preserve">             Adjusted Operating Profit</t>
  </si>
  <si>
    <t xml:space="preserve">    Free Cash Flow</t>
  </si>
  <si>
    <t>Methodology note:</t>
  </si>
  <si>
    <t>Diluted EPS (Pence)</t>
  </si>
  <si>
    <r>
      <rPr>
        <b/>
        <sz val="12"/>
        <color theme="1"/>
        <rFont val="Aptos Narrow"/>
        <family val="2"/>
        <scheme val="minor"/>
      </rPr>
      <t>Revenue:</t>
    </r>
    <r>
      <rPr>
        <sz val="12"/>
        <color theme="1"/>
        <rFont val="Aptos Narrow"/>
        <family val="2"/>
        <scheme val="minor"/>
      </rPr>
      <t xml:space="preserve"> Increased from £61.3bn to £73.7bn over five years, representing approximately </t>
    </r>
    <r>
      <rPr>
        <b/>
        <sz val="12"/>
        <color theme="1"/>
        <rFont val="Aptos Narrow"/>
        <family val="2"/>
        <scheme val="minor"/>
      </rPr>
      <t>4.7% CAGR</t>
    </r>
    <r>
      <rPr>
        <sz val="12"/>
        <color theme="1"/>
        <rFont val="Aptos Narrow"/>
        <family val="2"/>
        <scheme val="minor"/>
      </rPr>
      <t>.</t>
    </r>
  </si>
  <si>
    <r>
      <rPr>
        <b/>
        <sz val="12"/>
        <color theme="1"/>
        <rFont val="Aptos Narrow"/>
        <family val="2"/>
        <scheme val="minor"/>
      </rPr>
      <t>Profitability:</t>
    </r>
    <r>
      <rPr>
        <sz val="12"/>
        <color theme="1"/>
        <rFont val="Aptos Narrow"/>
        <family val="2"/>
        <scheme val="minor"/>
      </rPr>
      <t xml:space="preserve"> Adjusted operating profitability recovered following the FY2022/23 decline, with FY2025/26 adjusted operating margin at </t>
    </r>
    <r>
      <rPr>
        <b/>
        <sz val="12"/>
        <color theme="1"/>
        <rFont val="Aptos Narrow"/>
        <family val="2"/>
        <scheme val="minor"/>
      </rPr>
      <t>4.3%</t>
    </r>
    <r>
      <rPr>
        <sz val="12"/>
        <color theme="1"/>
        <rFont val="Aptos Narrow"/>
        <family val="2"/>
        <scheme val="minor"/>
      </rPr>
      <t>.</t>
    </r>
  </si>
  <si>
    <r>
      <rPr>
        <b/>
        <sz val="12"/>
        <color theme="1"/>
        <rFont val="Aptos Narrow"/>
        <family val="2"/>
        <scheme val="minor"/>
      </rPr>
      <t>Cash Generation:</t>
    </r>
    <r>
      <rPr>
        <sz val="12"/>
        <color theme="1"/>
        <rFont val="Aptos Narrow"/>
        <family val="2"/>
        <scheme val="minor"/>
      </rPr>
      <t xml:space="preserve"> Free cash flow recovered </t>
    </r>
    <r>
      <rPr>
        <b/>
        <sz val="12"/>
        <color theme="1"/>
        <rFont val="Aptos Narrow"/>
        <family val="2"/>
        <scheme val="minor"/>
      </rPr>
      <t>11.8% YoY to £1.96bn</t>
    </r>
    <r>
      <rPr>
        <sz val="12"/>
        <color theme="1"/>
        <rFont val="Aptos Narrow"/>
        <family val="2"/>
        <scheme val="minor"/>
      </rPr>
      <t xml:space="preserve"> in FY2025/26 following three consecutive annual declines.</t>
    </r>
  </si>
  <si>
    <r>
      <rPr>
        <b/>
        <sz val="12"/>
        <color theme="1"/>
        <rFont val="Aptos Narrow"/>
        <family val="2"/>
        <scheme val="minor"/>
      </rPr>
      <t>Financial Position:</t>
    </r>
    <r>
      <rPr>
        <sz val="12"/>
        <color theme="1"/>
        <rFont val="Aptos Narrow"/>
        <family val="2"/>
        <scheme val="minor"/>
      </rPr>
      <t xml:space="preserve"> Headline liquidity weakened over the period, with the current ratio declining from </t>
    </r>
    <r>
      <rPr>
        <b/>
        <sz val="12"/>
        <color theme="1"/>
        <rFont val="Aptos Narrow"/>
        <family val="2"/>
        <scheme val="minor"/>
      </rPr>
      <t>0.76 to 0.59</t>
    </r>
    <r>
      <rPr>
        <sz val="12"/>
        <color theme="1"/>
        <rFont val="Aptos Narrow"/>
        <family val="2"/>
        <scheme val="minor"/>
      </rPr>
      <t xml:space="preserve">, while borrowings-to-equity increased from </t>
    </r>
    <r>
      <rPr>
        <b/>
        <sz val="12"/>
        <color theme="1"/>
        <rFont val="Aptos Narrow"/>
        <family val="2"/>
        <scheme val="minor"/>
      </rPr>
      <t>0.47x to 0.63x</t>
    </r>
    <r>
      <rPr>
        <sz val="12"/>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</si>
</sst>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164" formatCode="0.0%"/>
    <numFmt numFmtId="165" formatCode="&quot;£&quot;0.0&quot;bn&quot;"/>
    <numFmt numFmtId="166" formatCode="&quot;£&quot;0.00&quot;bn&quot;"/>
    <numFmt numFmtId="167" formatCode="\+0.0%&quot; YoY&quot;;&quot;-&quot;0.0%&quot; YoY&quot;;0.0%&quot; YoY&quot;"/>
    <numFmt numFmtId="168" formatCode="\+0.0&quot;pp YoY&quot;;\-0.0&quot;pp YoY&quot;;0.0&quot;pp YoY&quot;"/>
    <numFmt numFmtId="169" formatCode="0.00&quot;x&quot;"/>
    <numFmt numFmtId="170" formatCode="0.00\p"/>
  </numFmts>
  <fonts count="18">
    <font>
      <sz val="11"/>
      <color theme="1"/>
      <name val="Aptos Narrow"/>
      <family val="2"/>
      <scheme val="minor"/>
    </font>
    <font>
      <sz val="11"/>
      <color theme="1"/>
      <name val="Aptos Narrow"/>
      <family val="2"/>
      <scheme val="minor"/>
    </font>
    <font>
      <b/>
      <sz val="14"/>
      <color theme="1"/>
      <name val="Aptos Narrow"/>
      <family val="2"/>
      <scheme val="minor"/>
    </font>
    <font>
      <b/>
      <sz val="26"/>
      <color theme="1"/>
      <name val="Aptos Narrow"/>
      <family val="2"/>
      <scheme val="minor"/>
    </font>
    <font>
      <sz val="26"/>
      <color theme="1"/>
      <name val="Aptos Narrow"/>
      <family val="2"/>
      <scheme val="minor"/>
    </font>
    <font>
      <sz val="8"/>
      <name val="Aptos Narrow"/>
      <family val="2"/>
      <scheme val="minor"/>
    </font>
    <font>
      <sz val="10"/>
      <color theme="1"/>
      <name val="Arial Unicode MS"/>
    </font>
    <font>
      <b/>
      <sz val="11"/>
      <color theme="1"/>
      <name val="Aptos Narrow"/>
      <family val="2"/>
      <scheme val="minor"/>
    </font>
    <font>
      <b/>
      <sz val="16"/>
      <color theme="1"/>
      <name val="Aptos Narrow"/>
      <family val="2"/>
      <scheme val="minor"/>
    </font>
    <font>
      <b/>
      <sz val="18"/>
      <color theme="1"/>
      <name val="Aptos Narrow"/>
      <family val="2"/>
      <scheme val="minor"/>
    </font>
    <font>
      <b/>
      <sz val="22"/>
      <color theme="1"/>
      <name val="Aptos Narrow"/>
      <family val="2"/>
      <scheme val="minor"/>
    </font>
    <font>
      <b/>
      <sz val="20"/>
      <color theme="1"/>
      <name val="Aptos Narrow"/>
      <family val="2"/>
      <scheme val="minor"/>
    </font>
    <font>
      <b/>
      <sz val="12"/>
      <color theme="1"/>
      <name val="Aptos Narrow"/>
      <family val="2"/>
      <scheme val="minor"/>
    </font>
    <font>
      <sz val="11"/>
      <color theme="0"/>
      <name val="Aptos Narrow"/>
      <family val="2"/>
      <scheme val="minor"/>
    </font>
    <font>
      <b/>
      <sz val="24"/>
      <color theme="1"/>
      <name val="Aptos Narrow"/>
      <family val="2"/>
      <scheme val="minor"/>
    </font>
    <font>
      <sz val="12"/>
      <color theme="1"/>
      <name val="Aptos Narrow"/>
      <family val="2"/>
      <scheme val="minor"/>
    </font>
    <font>
      <b/>
      <sz val="13.5"/>
      <color theme="1"/>
      <name val="Aptos Narrow"/>
      <family val="2"/>
      <scheme val="minor"/>
    </font>
    <font>
      <sz val="22"/>
      <color theme="1"/>
      <name val="Aptos Narrow"/>
      <family val="2"/>
      <scheme val="minor"/>
    </font>
  </fonts>
  <fills count="8">
    <fill>
      <patternFill patternType="none"/>
    </fill>
    <fill>
      <patternFill patternType="gray125"/>
    </fill>
    <fill>
      <patternFill patternType="solid">
        <fgColor theme="5"/>
      </patternFill>
    </fill>
    <fill>
      <patternFill patternType="solid">
        <fgColor theme="6"/>
      </patternFill>
    </fill>
    <fill>
      <patternFill patternType="solid">
        <fgColor theme="7"/>
      </patternFill>
    </fill>
    <fill>
      <patternFill patternType="solid">
        <fgColor theme="8" tint="0.39997558519241921"/>
        <bgColor indexed="65"/>
      </patternFill>
    </fill>
    <fill>
      <patternFill patternType="solid">
        <fgColor theme="9" tint="0.79998168889431442"/>
        <bgColor indexed="65"/>
      </patternFill>
    </fill>
    <fill>
      <patternFill patternType="solid">
        <fgColor theme="3" tint="0.89999084444715716"/>
        <bgColor indexed="64"/>
      </patternFill>
    </fill>
  </fills>
  <borders count="1">
    <border>
      <left/>
      <right/>
      <top/>
      <bottom/>
      <diagonal/>
    </border>
  </borders>
  <cellStyleXfs count="7">
    <xf numFmtId="0" fontId="0" fillId="0" borderId="0"/>
    <xf numFmtId="44" fontId="1" fillId="0" borderId="0" applyFont="0" applyFill="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cellStyleXfs>
  <cellXfs count="47">
    <xf numFmtId="0" fontId="0" fillId="0" borderId="0" xfId="0"/>
    <xf numFmtId="0" fontId="2" fillId="0" borderId="0" xfId="0" applyFont="1"/>
    <xf numFmtId="0" fontId="3" fillId="0" borderId="0" xfId="0" applyFont="1"/>
    <xf numFmtId="0" fontId="4" fillId="0" borderId="0" xfId="0" applyFont="1"/>
    <xf numFmtId="2" fontId="0" fillId="0" borderId="0" xfId="0" applyNumberFormat="1"/>
    <xf numFmtId="3" fontId="0" fillId="0" borderId="0" xfId="1" applyNumberFormat="1" applyFont="1"/>
    <xf numFmtId="3" fontId="0" fillId="0" borderId="0" xfId="0" applyNumberFormat="1"/>
    <xf numFmtId="3" fontId="6" fillId="0" borderId="0" xfId="0" applyNumberFormat="1" applyFont="1" applyAlignment="1">
      <alignment vertical="center" wrapText="1"/>
    </xf>
    <xf numFmtId="0" fontId="8" fillId="0" borderId="0" xfId="0" applyFont="1"/>
    <xf numFmtId="0" fontId="9" fillId="0" borderId="0" xfId="0" applyFont="1"/>
    <xf numFmtId="0" fontId="0" fillId="0" borderId="0" xfId="0" applyAlignment="1">
      <alignment vertical="center" wrapText="1"/>
    </xf>
    <xf numFmtId="0" fontId="10" fillId="0" borderId="0" xfId="0" applyFont="1"/>
    <xf numFmtId="164" fontId="0" fillId="0" borderId="0" xfId="0" applyNumberFormat="1"/>
    <xf numFmtId="0" fontId="7" fillId="0" borderId="0" xfId="0" applyFont="1" applyAlignment="1">
      <alignment horizontal="center" vertical="center" wrapText="1"/>
    </xf>
    <xf numFmtId="0" fontId="7" fillId="0" borderId="0" xfId="0" applyFont="1" applyAlignment="1">
      <alignment horizontal="right" vertical="center" wrapText="1"/>
    </xf>
    <xf numFmtId="3" fontId="0" fillId="0" borderId="0" xfId="0" applyNumberFormat="1" applyAlignment="1">
      <alignment horizontal="right" vertical="center" wrapText="1"/>
    </xf>
    <xf numFmtId="0" fontId="7" fillId="0" borderId="0" xfId="0" applyFont="1"/>
    <xf numFmtId="164" fontId="0" fillId="0" borderId="0" xfId="0" applyNumberFormat="1" applyAlignment="1">
      <alignment horizontal="right" vertical="center" wrapText="1"/>
    </xf>
    <xf numFmtId="0" fontId="11" fillId="0" borderId="0" xfId="0" applyFont="1"/>
    <xf numFmtId="0" fontId="12" fillId="0" borderId="0" xfId="0" applyFont="1"/>
    <xf numFmtId="2" fontId="0" fillId="0" borderId="0" xfId="0" applyNumberFormat="1" applyAlignment="1">
      <alignment horizontal="right" vertical="center" wrapText="1"/>
    </xf>
    <xf numFmtId="10" fontId="0" fillId="0" borderId="0" xfId="0" applyNumberFormat="1" applyAlignment="1">
      <alignment horizontal="right" vertical="center" wrapText="1"/>
    </xf>
    <xf numFmtId="0" fontId="14" fillId="0" borderId="0" xfId="0" applyFont="1"/>
    <xf numFmtId="0" fontId="0" fillId="0" borderId="0" xfId="0" applyAlignment="1">
      <alignment horizontal="left"/>
    </xf>
    <xf numFmtId="0" fontId="13" fillId="2" borderId="0" xfId="2" applyAlignment="1">
      <alignment horizontal="left"/>
    </xf>
    <xf numFmtId="164" fontId="0" fillId="0" borderId="0" xfId="0" applyNumberFormat="1" applyAlignment="1">
      <alignment horizontal="left"/>
    </xf>
    <xf numFmtId="0" fontId="13" fillId="3" borderId="0" xfId="3" applyAlignment="1">
      <alignment horizontal="left"/>
    </xf>
    <xf numFmtId="0" fontId="13" fillId="4" borderId="0" xfId="4" applyAlignment="1">
      <alignment horizontal="left"/>
    </xf>
    <xf numFmtId="0" fontId="1" fillId="5" borderId="0" xfId="5" applyAlignment="1">
      <alignment horizontal="left"/>
    </xf>
    <xf numFmtId="0" fontId="7" fillId="0" borderId="0" xfId="0" applyFont="1" applyAlignment="1">
      <alignment vertical="center" wrapText="1"/>
    </xf>
    <xf numFmtId="165" fontId="9" fillId="0" borderId="0" xfId="0" applyNumberFormat="1" applyFont="1" applyAlignment="1">
      <alignment horizontal="right" vertical="center" wrapText="1"/>
    </xf>
    <xf numFmtId="166" fontId="9" fillId="0" borderId="0" xfId="0" applyNumberFormat="1" applyFont="1" applyAlignment="1">
      <alignment horizontal="right" vertical="center" wrapText="1"/>
    </xf>
    <xf numFmtId="164" fontId="9" fillId="0" borderId="0" xfId="0" applyNumberFormat="1" applyFont="1" applyAlignment="1">
      <alignment horizontal="right" vertical="center" wrapText="1"/>
    </xf>
    <xf numFmtId="0" fontId="16" fillId="0" borderId="0" xfId="0" applyFont="1" applyAlignment="1">
      <alignment vertical="center"/>
    </xf>
    <xf numFmtId="167" fontId="0" fillId="0" borderId="0" xfId="0" applyNumberFormat="1" applyAlignment="1">
      <alignment horizontal="right" vertical="center" wrapText="1"/>
    </xf>
    <xf numFmtId="168" fontId="0" fillId="0" borderId="0" xfId="0" applyNumberFormat="1" applyAlignment="1">
      <alignment horizontal="right" vertical="center" wrapText="1"/>
    </xf>
    <xf numFmtId="169" fontId="0" fillId="0" borderId="0" xfId="0" applyNumberFormat="1"/>
    <xf numFmtId="0" fontId="15" fillId="0" borderId="0" xfId="0" applyFont="1"/>
    <xf numFmtId="0" fontId="17" fillId="0" borderId="0" xfId="0" applyFont="1"/>
    <xf numFmtId="0" fontId="15" fillId="7" borderId="0" xfId="6" applyFont="1" applyFill="1" applyAlignment="1">
      <alignment horizontal="center" vertical="center" wrapText="1"/>
    </xf>
    <xf numFmtId="0" fontId="15" fillId="7" borderId="0" xfId="6" applyFont="1" applyFill="1" applyAlignment="1">
      <alignment vertical="center" wrapText="1"/>
    </xf>
    <xf numFmtId="0" fontId="12" fillId="0" borderId="0" xfId="0" applyFont="1" applyAlignment="1">
      <alignment horizontal="left" vertical="center" indent="1"/>
    </xf>
    <xf numFmtId="170" fontId="0" fillId="0" borderId="0" xfId="0" applyNumberFormat="1"/>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right" vertical="center" wrapText="1"/>
    </xf>
    <xf numFmtId="0" fontId="2" fillId="0" borderId="0" xfId="0" applyFont="1" applyAlignment="1">
      <alignment horizontal="left"/>
    </xf>
  </cellXfs>
  <cellStyles count="7">
    <cellStyle name="20% - Accent6" xfId="6" builtinId="50"/>
    <cellStyle name="60% - Accent5" xfId="5" builtinId="48"/>
    <cellStyle name="Accent2" xfId="2" builtinId="33"/>
    <cellStyle name="Accent3" xfId="3" builtinId="37"/>
    <cellStyle name="Accent4" xfId="4" builtinId="41"/>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Revenue &amp; Adjusted Operating Profit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'02_Performance'!$H$6</c:f>
              <c:strCache>
                <c:ptCount val="1"/>
                <c:pt idx="0">
                  <c:v>Revenue</c:v>
                </c:pt>
              </c:strCache>
            </c:strRef>
          </c:tx>
          <c:spPr>
            <a:solidFill>
              <a:schemeClr val="accent1"/>
            </a:solidFill>
            <a:ln>
              <a:noFill/>
            </a:ln>
            <a:effectLst/>
          </c:spPr>
          <c:invertIfNegative val="0"/>
          <c:cat>
            <c:strRef>
              <c:f>'02_Performance'!$I$5:$M$5</c:f>
              <c:strCache>
                <c:ptCount val="5"/>
                <c:pt idx="0">
                  <c:v>FY21/22</c:v>
                </c:pt>
                <c:pt idx="1">
                  <c:v>FY22/23</c:v>
                </c:pt>
                <c:pt idx="2">
                  <c:v>FY23/24</c:v>
                </c:pt>
                <c:pt idx="3">
                  <c:v>FY24/25</c:v>
                </c:pt>
                <c:pt idx="4">
                  <c:v>FY25/26</c:v>
                </c:pt>
              </c:strCache>
            </c:strRef>
          </c:cat>
          <c:val>
            <c:numRef>
              <c:f>'02_Performance'!$I$6:$M$6</c:f>
              <c:numCache>
                <c:formatCode>#,##0</c:formatCode>
                <c:ptCount val="5"/>
                <c:pt idx="0">
                  <c:v>61344</c:v>
                </c:pt>
                <c:pt idx="1">
                  <c:v>65322</c:v>
                </c:pt>
                <c:pt idx="2">
                  <c:v>68187</c:v>
                </c:pt>
                <c:pt idx="3">
                  <c:v>69916</c:v>
                </c:pt>
                <c:pt idx="4">
                  <c:v>73712</c:v>
                </c:pt>
              </c:numCache>
            </c:numRef>
          </c:val>
          <c:extLst>
            <c:ext xmlns:c16="http://schemas.microsoft.com/office/drawing/2014/chart" uri="{C3380CC4-5D6E-409C-BE32-E72D297353CC}">
              <c16:uniqueId val="{00000000-E2D3-466E-AE33-9BFB7C6A7B60}"/>
            </c:ext>
          </c:extLst>
        </c:ser>
        <c:dLbls>
          <c:showLegendKey val="0"/>
          <c:showVal val="0"/>
          <c:showCatName val="0"/>
          <c:showSerName val="0"/>
          <c:showPercent val="0"/>
          <c:showBubbleSize val="0"/>
        </c:dLbls>
        <c:gapWidth val="219"/>
        <c:overlap val="-27"/>
        <c:axId val="1762536767"/>
        <c:axId val="1768729583"/>
      </c:barChart>
      <c:lineChart>
        <c:grouping val="standard"/>
        <c:varyColors val="0"/>
        <c:ser>
          <c:idx val="1"/>
          <c:order val="1"/>
          <c:tx>
            <c:strRef>
              <c:f>'02_Performance'!$H$7</c:f>
              <c:strCache>
                <c:ptCount val="1"/>
                <c:pt idx="0">
                  <c:v>Adjusted Operating Profit</c:v>
                </c:pt>
              </c:strCache>
            </c:strRef>
          </c:tx>
          <c:spPr>
            <a:ln w="28575" cap="rnd">
              <a:solidFill>
                <a:schemeClr val="accent2"/>
              </a:solidFill>
              <a:round/>
            </a:ln>
            <a:effectLst/>
          </c:spPr>
          <c:marker>
            <c:symbol val="none"/>
          </c:marker>
          <c:cat>
            <c:strRef>
              <c:f>'02_Performance'!$I$5:$M$5</c:f>
              <c:strCache>
                <c:ptCount val="5"/>
                <c:pt idx="0">
                  <c:v>FY21/22</c:v>
                </c:pt>
                <c:pt idx="1">
                  <c:v>FY22/23</c:v>
                </c:pt>
                <c:pt idx="2">
                  <c:v>FY23/24</c:v>
                </c:pt>
                <c:pt idx="3">
                  <c:v>FY24/25</c:v>
                </c:pt>
                <c:pt idx="4">
                  <c:v>FY25/26</c:v>
                </c:pt>
              </c:strCache>
            </c:strRef>
          </c:cat>
          <c:val>
            <c:numRef>
              <c:f>'02_Performance'!$I$7:$M$7</c:f>
              <c:numCache>
                <c:formatCode>#,##0</c:formatCode>
                <c:ptCount val="5"/>
                <c:pt idx="0">
                  <c:v>2825</c:v>
                </c:pt>
                <c:pt idx="1">
                  <c:v>2509</c:v>
                </c:pt>
                <c:pt idx="2">
                  <c:v>2829</c:v>
                </c:pt>
                <c:pt idx="3">
                  <c:v>3128</c:v>
                </c:pt>
                <c:pt idx="4">
                  <c:v>3152</c:v>
                </c:pt>
              </c:numCache>
            </c:numRef>
          </c:val>
          <c:smooth val="0"/>
          <c:extLst>
            <c:ext xmlns:c16="http://schemas.microsoft.com/office/drawing/2014/chart" uri="{C3380CC4-5D6E-409C-BE32-E72D297353CC}">
              <c16:uniqueId val="{00000001-E2D3-466E-AE33-9BFB7C6A7B60}"/>
            </c:ext>
          </c:extLst>
        </c:ser>
        <c:dLbls>
          <c:showLegendKey val="0"/>
          <c:showVal val="0"/>
          <c:showCatName val="0"/>
          <c:showSerName val="0"/>
          <c:showPercent val="0"/>
          <c:showBubbleSize val="0"/>
        </c:dLbls>
        <c:marker val="1"/>
        <c:smooth val="0"/>
        <c:axId val="1762556255"/>
        <c:axId val="1768730063"/>
      </c:lineChart>
      <c:catAx>
        <c:axId val="176253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729583"/>
        <c:crosses val="autoZero"/>
        <c:auto val="1"/>
        <c:lblAlgn val="ctr"/>
        <c:lblOffset val="100"/>
        <c:noMultiLvlLbl val="0"/>
      </c:catAx>
      <c:valAx>
        <c:axId val="1768729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Revenue (£m)</a:t>
                </a:r>
                <a:endParaRPr lang="en-GB"/>
              </a:p>
            </c:rich>
          </c:tx>
          <c:layout>
            <c:manualLayout>
              <c:xMode val="edge"/>
              <c:yMode val="edge"/>
              <c:x val="3.0555555555555555E-2"/>
              <c:y val="0.298857903178769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536767"/>
        <c:crosses val="autoZero"/>
        <c:crossBetween val="between"/>
      </c:valAx>
      <c:valAx>
        <c:axId val="176873006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Adjusted Operating Profit (£m)</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556255"/>
        <c:crosses val="max"/>
        <c:crossBetween val="between"/>
      </c:valAx>
      <c:catAx>
        <c:axId val="1762556255"/>
        <c:scaling>
          <c:orientation val="minMax"/>
        </c:scaling>
        <c:delete val="1"/>
        <c:axPos val="b"/>
        <c:numFmt formatCode="General" sourceLinked="1"/>
        <c:majorTickMark val="out"/>
        <c:minorTickMark val="none"/>
        <c:tickLblPos val="nextTo"/>
        <c:crossAx val="1768730063"/>
        <c:crosses val="autoZero"/>
        <c:auto val="1"/>
        <c:lblAlgn val="ctr"/>
        <c:lblOffset val="100"/>
        <c:noMultiLvlLbl val="0"/>
      </c:catAx>
      <c:spPr>
        <a:noFill/>
        <a:ln>
          <a:noFill/>
        </a:ln>
        <a:effectLst/>
      </c:spPr>
    </c:plotArea>
    <c:legend>
      <c:legendPos val="b"/>
      <c:layout>
        <c:manualLayout>
          <c:xMode val="edge"/>
          <c:yMode val="edge"/>
          <c:x val="0.38540704286964123"/>
          <c:y val="0.92187445319335082"/>
          <c:w val="0.4412653519717421"/>
          <c:h val="7.69742442255129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Profitability Margin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'02_Performance'!$H$31</c:f>
              <c:strCache>
                <c:ptCount val="1"/>
                <c:pt idx="0">
                  <c:v>Operating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'02_Performance'!$I$30:$M$30</c:f>
              <c:strCache>
                <c:ptCount val="5"/>
                <c:pt idx="0">
                  <c:v>FY21/22</c:v>
                </c:pt>
                <c:pt idx="1">
                  <c:v>FY22/23</c:v>
                </c:pt>
                <c:pt idx="2">
                  <c:v>FY23/24</c:v>
                </c:pt>
                <c:pt idx="3">
                  <c:v>FY24/25</c:v>
                </c:pt>
                <c:pt idx="4">
                  <c:v>FY25/26</c:v>
                </c:pt>
              </c:strCache>
            </c:strRef>
          </c:cat>
          <c:val>
            <c:numRef>
              <c:f>'02_Performance'!$I$31:$M$31</c:f>
              <c:numCache>
                <c:formatCode>0.0%</c:formatCode>
                <c:ptCount val="5"/>
                <c:pt idx="0">
                  <c:v>4.1731872717788214E-2</c:v>
                </c:pt>
                <c:pt idx="1">
                  <c:v>2.1585377055203452E-2</c:v>
                </c:pt>
                <c:pt idx="2">
                  <c:v>4.1371522430961913E-2</c:v>
                </c:pt>
                <c:pt idx="3">
                  <c:v>3.8775101550431949E-2</c:v>
                </c:pt>
                <c:pt idx="4">
                  <c:v>4.0495441719123074E-2</c:v>
                </c:pt>
              </c:numCache>
            </c:numRef>
          </c:val>
          <c:smooth val="0"/>
          <c:extLst>
            <c:ext xmlns:c16="http://schemas.microsoft.com/office/drawing/2014/chart" uri="{C3380CC4-5D6E-409C-BE32-E72D297353CC}">
              <c16:uniqueId val="{00000000-B41B-4CA0-8B1A-A51528DC7E58}"/>
            </c:ext>
          </c:extLst>
        </c:ser>
        <c:ser>
          <c:idx val="1"/>
          <c:order val="1"/>
          <c:tx>
            <c:strRef>
              <c:f>'02_Performance'!$H$32</c:f>
              <c:strCache>
                <c:ptCount val="1"/>
                <c:pt idx="0">
                  <c:v>Adjusted Operating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'02_Performance'!$I$30:$M$30</c:f>
              <c:strCache>
                <c:ptCount val="5"/>
                <c:pt idx="0">
                  <c:v>FY21/22</c:v>
                </c:pt>
                <c:pt idx="1">
                  <c:v>FY22/23</c:v>
                </c:pt>
                <c:pt idx="2">
                  <c:v>FY23/24</c:v>
                </c:pt>
                <c:pt idx="3">
                  <c:v>FY24/25</c:v>
                </c:pt>
                <c:pt idx="4">
                  <c:v>FY25/26</c:v>
                </c:pt>
              </c:strCache>
            </c:strRef>
          </c:cat>
          <c:val>
            <c:numRef>
              <c:f>'02_Performance'!$I$32:$M$32</c:f>
              <c:numCache>
                <c:formatCode>0.0%</c:formatCode>
                <c:ptCount val="5"/>
                <c:pt idx="0">
                  <c:v>4.6051773604590507E-2</c:v>
                </c:pt>
                <c:pt idx="1">
                  <c:v>3.840972413581948E-2</c:v>
                </c:pt>
                <c:pt idx="2">
                  <c:v>4.1488846847639579E-2</c:v>
                </c:pt>
                <c:pt idx="3">
                  <c:v>4.4739401567595399E-2</c:v>
                </c:pt>
                <c:pt idx="4">
                  <c:v>4.2761015845452575E-2</c:v>
                </c:pt>
              </c:numCache>
            </c:numRef>
          </c:val>
          <c:smooth val="0"/>
          <c:extLst>
            <c:ext xmlns:c16="http://schemas.microsoft.com/office/drawing/2014/chart" uri="{C3380CC4-5D6E-409C-BE32-E72D297353CC}">
              <c16:uniqueId val="{00000001-B41B-4CA0-8B1A-A51528DC7E58}"/>
            </c:ext>
          </c:extLst>
        </c:ser>
        <c:ser>
          <c:idx val="2"/>
          <c:order val="2"/>
          <c:tx>
            <c:strRef>
              <c:f>'02_Performance'!$H$33</c:f>
              <c:strCache>
                <c:ptCount val="1"/>
                <c:pt idx="0">
                  <c:v>Net Profit Margin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'02_Performance'!$I$30:$M$30</c:f>
              <c:strCache>
                <c:ptCount val="5"/>
                <c:pt idx="0">
                  <c:v>FY21/22</c:v>
                </c:pt>
                <c:pt idx="1">
                  <c:v>FY22/23</c:v>
                </c:pt>
                <c:pt idx="2">
                  <c:v>FY23/24</c:v>
                </c:pt>
                <c:pt idx="3">
                  <c:v>FY24/25</c:v>
                </c:pt>
                <c:pt idx="4">
                  <c:v>FY25/26</c:v>
                </c:pt>
              </c:strCache>
            </c:strRef>
          </c:cat>
          <c:val>
            <c:numRef>
              <c:f>'02_Performance'!$I$33:$M$33</c:f>
              <c:numCache>
                <c:formatCode>0.0%</c:formatCode>
                <c:ptCount val="5"/>
                <c:pt idx="0">
                  <c:v>2.4827203964527908E-2</c:v>
                </c:pt>
                <c:pt idx="1">
                  <c:v>1.0073175959094944E-2</c:v>
                </c:pt>
                <c:pt idx="2">
                  <c:v>2.5870033877425317E-2</c:v>
                </c:pt>
                <c:pt idx="3">
                  <c:v>2.2941815893357743E-2</c:v>
                </c:pt>
                <c:pt idx="4">
                  <c:v>2.4242999782939006E-2</c:v>
                </c:pt>
              </c:numCache>
            </c:numRef>
          </c:val>
          <c:smooth val="0"/>
          <c:extLst>
            <c:ext xmlns:c16="http://schemas.microsoft.com/office/drawing/2014/chart" uri="{C3380CC4-5D6E-409C-BE32-E72D297353CC}">
              <c16:uniqueId val="{00000002-B41B-4CA0-8B1A-A51528DC7E58}"/>
            </c:ext>
          </c:extLst>
        </c:ser>
        <c:dLbls>
          <c:showLegendKey val="0"/>
          <c:showVal val="0"/>
          <c:showCatName val="0"/>
          <c:showSerName val="0"/>
          <c:showPercent val="0"/>
          <c:showBubbleSize val="0"/>
        </c:dLbls>
        <c:marker val="1"/>
        <c:smooth val="0"/>
        <c:axId val="1762537231"/>
        <c:axId val="1768812143"/>
      </c:lineChart>
      <c:catAx>
        <c:axId val="176253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812143"/>
        <c:crosses val="autoZero"/>
        <c:auto val="1"/>
        <c:lblAlgn val="ctr"/>
        <c:lblOffset val="100"/>
        <c:noMultiLvlLbl val="0"/>
      </c:catAx>
      <c:valAx>
        <c:axId val="1768812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537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Revenue vs Adjusted Operating Profit Growth</a:t>
            </a:r>
            <a:endParaRPr lang="en-GB"/>
          </a:p>
        </c:rich>
      </c:tx>
      <c:layout>
        <c:manualLayout>
          <c:xMode val="edge"/>
          <c:yMode val="edge"/>
          <c:x val="0.1795973315835520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'02_Performance'!$H$55</c:f>
              <c:strCache>
                <c:ptCount val="1"/>
                <c:pt idx="0">
                  <c:v>Revenue Growth</c:v>
                </c:pt>
              </c:strCache>
            </c:strRef>
          </c:tx>
          <c:spPr>
            <a:solidFill>
              <a:schemeClr val="accent1"/>
            </a:solidFill>
            <a:ln>
              <a:noFill/>
            </a:ln>
            <a:effectLst/>
          </c:spPr>
          <c:invertIfNegative val="0"/>
          <c:cat>
            <c:strRef>
              <c:f>'02_Performance'!$I$54:$L$54</c:f>
              <c:strCache>
                <c:ptCount val="4"/>
                <c:pt idx="0">
                  <c:v>FY22/23</c:v>
                </c:pt>
                <c:pt idx="1">
                  <c:v>FY23/24</c:v>
                </c:pt>
                <c:pt idx="2">
                  <c:v>FY24/25</c:v>
                </c:pt>
                <c:pt idx="3">
                  <c:v>FY25/26</c:v>
                </c:pt>
              </c:strCache>
            </c:strRef>
          </c:cat>
          <c:val>
            <c:numRef>
              <c:f>'02_Performance'!$I$55:$L$55</c:f>
              <c:numCache>
                <c:formatCode>0.0%</c:formatCode>
                <c:ptCount val="4"/>
                <c:pt idx="0">
                  <c:v>6.484741784037551E-2</c:v>
                </c:pt>
                <c:pt idx="1">
                  <c:v>4.3859649122806932E-2</c:v>
                </c:pt>
                <c:pt idx="2">
                  <c:v>2.5356739554460495E-2</c:v>
                </c:pt>
                <c:pt idx="3">
                  <c:v>5.429372389724807E-2</c:v>
                </c:pt>
              </c:numCache>
            </c:numRef>
          </c:val>
          <c:extLst>
            <c:ext xmlns:c16="http://schemas.microsoft.com/office/drawing/2014/chart" uri="{C3380CC4-5D6E-409C-BE32-E72D297353CC}">
              <c16:uniqueId val="{00000000-0C00-4870-9130-BF9E4802C735}"/>
            </c:ext>
          </c:extLst>
        </c:ser>
        <c:ser>
          <c:idx val="1"/>
          <c:order val="1"/>
          <c:tx>
            <c:strRef>
              <c:f>'02_Performance'!$H$56</c:f>
              <c:strCache>
                <c:ptCount val="1"/>
                <c:pt idx="0">
                  <c:v>Adjusted Operating Profit Growth</c:v>
                </c:pt>
              </c:strCache>
            </c:strRef>
          </c:tx>
          <c:spPr>
            <a:solidFill>
              <a:schemeClr val="accent2"/>
            </a:solidFill>
            <a:ln>
              <a:noFill/>
            </a:ln>
            <a:effectLst/>
          </c:spPr>
          <c:invertIfNegative val="0"/>
          <c:cat>
            <c:strRef>
              <c:f>'02_Performance'!$I$54:$L$54</c:f>
              <c:strCache>
                <c:ptCount val="4"/>
                <c:pt idx="0">
                  <c:v>FY22/23</c:v>
                </c:pt>
                <c:pt idx="1">
                  <c:v>FY23/24</c:v>
                </c:pt>
                <c:pt idx="2">
                  <c:v>FY24/25</c:v>
                </c:pt>
                <c:pt idx="3">
                  <c:v>FY25/26</c:v>
                </c:pt>
              </c:strCache>
            </c:strRef>
          </c:cat>
          <c:val>
            <c:numRef>
              <c:f>'02_Performance'!$I$56:$L$56</c:f>
              <c:numCache>
                <c:formatCode>0.0%</c:formatCode>
                <c:ptCount val="4"/>
                <c:pt idx="0">
                  <c:v>-0.11185840707964601</c:v>
                </c:pt>
                <c:pt idx="1">
                  <c:v>0.12754085292945394</c:v>
                </c:pt>
                <c:pt idx="2">
                  <c:v>0.10569105691056913</c:v>
                </c:pt>
                <c:pt idx="3">
                  <c:v>7.6726342710997653E-3</c:v>
                </c:pt>
              </c:numCache>
            </c:numRef>
          </c:val>
          <c:extLst>
            <c:ext xmlns:c16="http://schemas.microsoft.com/office/drawing/2014/chart" uri="{C3380CC4-5D6E-409C-BE32-E72D297353CC}">
              <c16:uniqueId val="{00000001-0C00-4870-9130-BF9E4802C735}"/>
            </c:ext>
          </c:extLst>
        </c:ser>
        <c:dLbls>
          <c:showLegendKey val="0"/>
          <c:showVal val="0"/>
          <c:showCatName val="0"/>
          <c:showSerName val="0"/>
          <c:showPercent val="0"/>
          <c:showBubbleSize val="0"/>
        </c:dLbls>
        <c:gapWidth val="219"/>
        <c:overlap val="-27"/>
        <c:axId val="812563135"/>
        <c:axId val="1768743503"/>
      </c:barChart>
      <c:catAx>
        <c:axId val="81256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743503"/>
        <c:crosses val="autoZero"/>
        <c:auto val="1"/>
        <c:lblAlgn val="ctr"/>
        <c:lblOffset val="100"/>
        <c:noMultiLvlLbl val="0"/>
      </c:catAx>
      <c:valAx>
        <c:axId val="1768743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a:t>
                </a:r>
                <a:r>
                  <a:rPr lang="en-GB" sz="1000" b="0" i="0" u="none" strike="noStrike" baseline="0"/>
                  <a:t>Annual Growth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63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Liquidity Ratio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'03_Balance_Sheet'!$I$9</c:f>
              <c:strCache>
                <c:ptCount val="1"/>
                <c:pt idx="0">
                  <c:v>Current Ratio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'03_Balance_Sheet'!$J$8:$N$8</c:f>
              <c:strCache>
                <c:ptCount val="5"/>
                <c:pt idx="0">
                  <c:v>FY21/22</c:v>
                </c:pt>
                <c:pt idx="1">
                  <c:v>FY22/23</c:v>
                </c:pt>
                <c:pt idx="2">
                  <c:v>FY23/24</c:v>
                </c:pt>
                <c:pt idx="3">
                  <c:v>FY24/25</c:v>
                </c:pt>
                <c:pt idx="4">
                  <c:v>FY25/26</c:v>
                </c:pt>
              </c:strCache>
            </c:strRef>
          </c:cat>
          <c:val>
            <c:numRef>
              <c:f>'03_Balance_Sheet'!$J$9:$N$9</c:f>
              <c:numCache>
                <c:formatCode>0.00</c:formatCode>
                <c:ptCount val="5"/>
                <c:pt idx="0">
                  <c:v>0.75079872204472842</c:v>
                </c:pt>
                <c:pt idx="1">
                  <c:v>0.70806360022714365</c:v>
                </c:pt>
                <c:pt idx="2">
                  <c:v>0.81115670183665489</c:v>
                </c:pt>
                <c:pt idx="3">
                  <c:v>0.64081041968162089</c:v>
                </c:pt>
                <c:pt idx="4">
                  <c:v>0.59201619094144742</c:v>
                </c:pt>
              </c:numCache>
            </c:numRef>
          </c:val>
          <c:smooth val="0"/>
          <c:extLst>
            <c:ext xmlns:c16="http://schemas.microsoft.com/office/drawing/2014/chart" uri="{C3380CC4-5D6E-409C-BE32-E72D297353CC}">
              <c16:uniqueId val="{00000000-736F-4A0F-89AE-77EB09F25876}"/>
            </c:ext>
          </c:extLst>
        </c:ser>
        <c:ser>
          <c:idx val="1"/>
          <c:order val="1"/>
          <c:tx>
            <c:strRef>
              <c:f>'03_Balance_Sheet'!$I$10</c:f>
              <c:strCache>
                <c:ptCount val="1"/>
                <c:pt idx="0">
                  <c:v>Quick Ratio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'03_Balance_Sheet'!$J$8:$N$8</c:f>
              <c:strCache>
                <c:ptCount val="5"/>
                <c:pt idx="0">
                  <c:v>FY21/22</c:v>
                </c:pt>
                <c:pt idx="1">
                  <c:v>FY22/23</c:v>
                </c:pt>
                <c:pt idx="2">
                  <c:v>FY23/24</c:v>
                </c:pt>
                <c:pt idx="3">
                  <c:v>FY24/25</c:v>
                </c:pt>
                <c:pt idx="4">
                  <c:v>FY25/26</c:v>
                </c:pt>
              </c:strCache>
            </c:strRef>
          </c:cat>
          <c:val>
            <c:numRef>
              <c:f>'03_Balance_Sheet'!$J$10:$N$10</c:f>
              <c:numCache>
                <c:formatCode>0.00</c:formatCode>
                <c:ptCount val="5"/>
                <c:pt idx="0">
                  <c:v>0.60427237987846893</c:v>
                </c:pt>
                <c:pt idx="1">
                  <c:v>0.56553094832481543</c:v>
                </c:pt>
                <c:pt idx="2">
                  <c:v>0.68244431418522855</c:v>
                </c:pt>
                <c:pt idx="3">
                  <c:v>0.44052098408104196</c:v>
                </c:pt>
                <c:pt idx="4">
                  <c:v>0.39381673529206507</c:v>
                </c:pt>
              </c:numCache>
            </c:numRef>
          </c:val>
          <c:smooth val="0"/>
          <c:extLst>
            <c:ext xmlns:c16="http://schemas.microsoft.com/office/drawing/2014/chart" uri="{C3380CC4-5D6E-409C-BE32-E72D297353CC}">
              <c16:uniqueId val="{00000001-736F-4A0F-89AE-77EB09F25876}"/>
            </c:ext>
          </c:extLst>
        </c:ser>
        <c:ser>
          <c:idx val="2"/>
          <c:order val="2"/>
          <c:tx>
            <c:strRef>
              <c:f>'03_Balance_Sheet'!$I$11</c:f>
              <c:strCache>
                <c:ptCount val="1"/>
                <c:pt idx="0">
                  <c:v>Cash Ratio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'03_Balance_Sheet'!$J$8:$N$8</c:f>
              <c:strCache>
                <c:ptCount val="5"/>
                <c:pt idx="0">
                  <c:v>FY21/22</c:v>
                </c:pt>
                <c:pt idx="1">
                  <c:v>FY22/23</c:v>
                </c:pt>
                <c:pt idx="2">
                  <c:v>FY23/24</c:v>
                </c:pt>
                <c:pt idx="3">
                  <c:v>FY24/25</c:v>
                </c:pt>
                <c:pt idx="4">
                  <c:v>FY25/26</c:v>
                </c:pt>
              </c:strCache>
            </c:strRef>
          </c:cat>
          <c:val>
            <c:numRef>
              <c:f>'03_Balance_Sheet'!$J$11:$N$11</c:f>
              <c:numCache>
                <c:formatCode>0.00</c:formatCode>
                <c:ptCount val="5"/>
                <c:pt idx="0">
                  <c:v>0.14690221136377873</c:v>
                </c:pt>
                <c:pt idx="1">
                  <c:v>0.13997728563316297</c:v>
                </c:pt>
                <c:pt idx="2">
                  <c:v>0.11430246189917936</c:v>
                </c:pt>
                <c:pt idx="3">
                  <c:v>0.16316931982633864</c:v>
                </c:pt>
                <c:pt idx="4">
                  <c:v>0.17551817991485799</c:v>
                </c:pt>
              </c:numCache>
            </c:numRef>
          </c:val>
          <c:smooth val="0"/>
          <c:extLst>
            <c:ext xmlns:c16="http://schemas.microsoft.com/office/drawing/2014/chart" uri="{C3380CC4-5D6E-409C-BE32-E72D297353CC}">
              <c16:uniqueId val="{00000002-736F-4A0F-89AE-77EB09F25876}"/>
            </c:ext>
          </c:extLst>
        </c:ser>
        <c:dLbls>
          <c:showLegendKey val="0"/>
          <c:showVal val="0"/>
          <c:showCatName val="0"/>
          <c:showSerName val="0"/>
          <c:showPercent val="0"/>
          <c:showBubbleSize val="0"/>
        </c:dLbls>
        <c:marker val="1"/>
        <c:smooth val="0"/>
        <c:axId val="1130442896"/>
        <c:axId val="883542768"/>
      </c:lineChart>
      <c:catAx>
        <c:axId val="113044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42768"/>
        <c:crosses val="autoZero"/>
        <c:auto val="1"/>
        <c:lblAlgn val="ctr"/>
        <c:lblOffset val="100"/>
        <c:noMultiLvlLbl val="0"/>
      </c:catAx>
      <c:valAx>
        <c:axId val="883542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Ratio (x)</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42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Capital Structure — Liabilities vs Equity</a:t>
            </a:r>
            <a:endParaRPr lang="en-GB"/>
          </a:p>
        </c:rich>
      </c:tx>
      <c:layout>
        <c:manualLayout>
          <c:xMode val="edge"/>
          <c:yMode val="edge"/>
          <c:x val="0.2279582239720035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percentStacked"/>
        <c:varyColors val="0"/>
        <c:ser>
          <c:idx val="0"/>
          <c:order val="0"/>
          <c:tx>
            <c:strRef>
              <c:f>'03_Balance_Sheet'!$I$33</c:f>
              <c:strCache>
                <c:ptCount val="1"/>
                <c:pt idx="0">
                  <c:v>Liabilities to Assets</c:v>
                </c:pt>
              </c:strCache>
            </c:strRef>
          </c:tx>
          <c:spPr>
            <a:solidFill>
              <a:schemeClr val="accent1"/>
            </a:solidFill>
            <a:ln>
              <a:noFill/>
            </a:ln>
            <a:effectLst/>
          </c:spPr>
          <c:invertIfNegative val="0"/>
          <c:cat>
            <c:strRef>
              <c:f>'03_Balance_Sheet'!$J$32:$N$32</c:f>
              <c:strCache>
                <c:ptCount val="5"/>
                <c:pt idx="0">
                  <c:v>FY21/22</c:v>
                </c:pt>
                <c:pt idx="1">
                  <c:v>FY22/23</c:v>
                </c:pt>
                <c:pt idx="2">
                  <c:v>FY23/24</c:v>
                </c:pt>
                <c:pt idx="3">
                  <c:v>FY24/25</c:v>
                </c:pt>
                <c:pt idx="4">
                  <c:v>FY25/26</c:v>
                </c:pt>
              </c:strCache>
            </c:strRef>
          </c:cat>
          <c:val>
            <c:numRef>
              <c:f>'03_Balance_Sheet'!$J$33:$N$33</c:f>
              <c:numCache>
                <c:formatCode>0.00%</c:formatCode>
                <c:ptCount val="5"/>
                <c:pt idx="0">
                  <c:v>0.68186905997517144</c:v>
                </c:pt>
                <c:pt idx="1">
                  <c:v>0.73347431760704629</c:v>
                </c:pt>
                <c:pt idx="2">
                  <c:v>0.75201428601798503</c:v>
                </c:pt>
                <c:pt idx="3">
                  <c:v>0.70012856775520704</c:v>
                </c:pt>
                <c:pt idx="4">
                  <c:v>0.70975832193342459</c:v>
                </c:pt>
              </c:numCache>
            </c:numRef>
          </c:val>
          <c:extLst>
            <c:ext xmlns:c16="http://schemas.microsoft.com/office/drawing/2014/chart" uri="{C3380CC4-5D6E-409C-BE32-E72D297353CC}">
              <c16:uniqueId val="{00000000-817B-43F3-868D-274D666F0C61}"/>
            </c:ext>
          </c:extLst>
        </c:ser>
        <c:ser>
          <c:idx val="1"/>
          <c:order val="1"/>
          <c:tx>
            <c:strRef>
              <c:f>'03_Balance_Sheet'!$I$34</c:f>
              <c:strCache>
                <c:ptCount val="1"/>
                <c:pt idx="0">
                  <c:v>Equity Ratio</c:v>
                </c:pt>
              </c:strCache>
            </c:strRef>
          </c:tx>
          <c:spPr>
            <a:solidFill>
              <a:schemeClr val="accent2"/>
            </a:solidFill>
            <a:ln>
              <a:noFill/>
            </a:ln>
            <a:effectLst/>
          </c:spPr>
          <c:invertIfNegative val="0"/>
          <c:cat>
            <c:strRef>
              <c:f>'03_Balance_Sheet'!$J$32:$N$32</c:f>
              <c:strCache>
                <c:ptCount val="5"/>
                <c:pt idx="0">
                  <c:v>FY21/22</c:v>
                </c:pt>
                <c:pt idx="1">
                  <c:v>FY22/23</c:v>
                </c:pt>
                <c:pt idx="2">
                  <c:v>FY23/24</c:v>
                </c:pt>
                <c:pt idx="3">
                  <c:v>FY24/25</c:v>
                </c:pt>
                <c:pt idx="4">
                  <c:v>FY25/26</c:v>
                </c:pt>
              </c:strCache>
            </c:strRef>
          </c:cat>
          <c:val>
            <c:numRef>
              <c:f>'03_Balance_Sheet'!$J$34:$N$34</c:f>
              <c:numCache>
                <c:formatCode>0.00%</c:formatCode>
                <c:ptCount val="5"/>
                <c:pt idx="0">
                  <c:v>0.31813094002482856</c:v>
                </c:pt>
                <c:pt idx="1">
                  <c:v>0.26652568239295371</c:v>
                </c:pt>
                <c:pt idx="2">
                  <c:v>0.24798571398201491</c:v>
                </c:pt>
                <c:pt idx="3">
                  <c:v>0.29987143224479301</c:v>
                </c:pt>
                <c:pt idx="4">
                  <c:v>0.29024167806657547</c:v>
                </c:pt>
              </c:numCache>
            </c:numRef>
          </c:val>
          <c:extLst>
            <c:ext xmlns:c16="http://schemas.microsoft.com/office/drawing/2014/chart" uri="{C3380CC4-5D6E-409C-BE32-E72D297353CC}">
              <c16:uniqueId val="{00000001-817B-43F3-868D-274D666F0C61}"/>
            </c:ext>
          </c:extLst>
        </c:ser>
        <c:dLbls>
          <c:showLegendKey val="0"/>
          <c:showVal val="0"/>
          <c:showCatName val="0"/>
          <c:showSerName val="0"/>
          <c:showPercent val="0"/>
          <c:showBubbleSize val="0"/>
        </c:dLbls>
        <c:gapWidth val="150"/>
        <c:overlap val="100"/>
        <c:axId val="1130469344"/>
        <c:axId val="883558608"/>
      </c:barChart>
      <c:catAx>
        <c:axId val="113046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58608"/>
        <c:crosses val="autoZero"/>
        <c:auto val="1"/>
        <c:lblAlgn val="ctr"/>
        <c:lblOffset val="100"/>
        <c:noMultiLvlLbl val="0"/>
      </c:catAx>
      <c:valAx>
        <c:axId val="883558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 of Total Assets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69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Free Cash Flow &amp; Capex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'04_Cash_Flow'!$H$6</c:f>
              <c:strCache>
                <c:ptCount val="1"/>
                <c:pt idx="0">
                  <c:v>Retail Free Cash Flow</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'04_Cash_Flow'!$I$5:$M$5</c:f>
              <c:strCache>
                <c:ptCount val="5"/>
                <c:pt idx="0">
                  <c:v>FY21/22</c:v>
                </c:pt>
                <c:pt idx="1">
                  <c:v>FY22/23</c:v>
                </c:pt>
                <c:pt idx="2">
                  <c:v>FY23/24</c:v>
                </c:pt>
                <c:pt idx="3">
                  <c:v>FY24/25</c:v>
                </c:pt>
                <c:pt idx="4">
                  <c:v>FY25/26</c:v>
                </c:pt>
              </c:strCache>
            </c:strRef>
          </c:cat>
          <c:val>
            <c:numRef>
              <c:f>'04_Cash_Flow'!$I$6:$M$6</c:f>
              <c:numCache>
                <c:formatCode>#,##0</c:formatCode>
                <c:ptCount val="5"/>
                <c:pt idx="0">
                  <c:v>2277</c:v>
                </c:pt>
                <c:pt idx="1">
                  <c:v>2133</c:v>
                </c:pt>
                <c:pt idx="2">
                  <c:v>2063</c:v>
                </c:pt>
                <c:pt idx="3">
                  <c:v>1750</c:v>
                </c:pt>
                <c:pt idx="4">
                  <c:v>1957</c:v>
                </c:pt>
              </c:numCache>
            </c:numRef>
          </c:val>
          <c:smooth val="0"/>
          <c:extLst>
            <c:ext xmlns:c16="http://schemas.microsoft.com/office/drawing/2014/chart" uri="{C3380CC4-5D6E-409C-BE32-E72D297353CC}">
              <c16:uniqueId val="{00000000-4BF5-4D35-8F96-974FB4BFF287}"/>
            </c:ext>
          </c:extLst>
        </c:ser>
        <c:ser>
          <c:idx val="1"/>
          <c:order val="1"/>
          <c:tx>
            <c:strRef>
              <c:f>'04_Cash_Flow'!$H$7</c:f>
              <c:strCache>
                <c:ptCount val="1"/>
                <c:pt idx="0">
                  <c:v>Capex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'04_Cash_Flow'!$I$5:$M$5</c:f>
              <c:strCache>
                <c:ptCount val="5"/>
                <c:pt idx="0">
                  <c:v>FY21/22</c:v>
                </c:pt>
                <c:pt idx="1">
                  <c:v>FY22/23</c:v>
                </c:pt>
                <c:pt idx="2">
                  <c:v>FY23/24</c:v>
                </c:pt>
                <c:pt idx="3">
                  <c:v>FY24/25</c:v>
                </c:pt>
                <c:pt idx="4">
                  <c:v>FY25/26</c:v>
                </c:pt>
              </c:strCache>
            </c:strRef>
          </c:cat>
          <c:val>
            <c:numRef>
              <c:f>'04_Cash_Flow'!$I$7:$M$7</c:f>
              <c:numCache>
                <c:formatCode>#,##0</c:formatCode>
                <c:ptCount val="5"/>
                <c:pt idx="0">
                  <c:v>1101</c:v>
                </c:pt>
                <c:pt idx="1">
                  <c:v>1235</c:v>
                </c:pt>
                <c:pt idx="2">
                  <c:v>1314</c:v>
                </c:pt>
                <c:pt idx="3">
                  <c:v>1457</c:v>
                </c:pt>
                <c:pt idx="4">
                  <c:v>1511</c:v>
                </c:pt>
              </c:numCache>
            </c:numRef>
          </c:val>
          <c:smooth val="0"/>
          <c:extLst>
            <c:ext xmlns:c16="http://schemas.microsoft.com/office/drawing/2014/chart" uri="{C3380CC4-5D6E-409C-BE32-E72D297353CC}">
              <c16:uniqueId val="{00000001-4BF5-4D35-8F96-974FB4BFF287}"/>
            </c:ext>
          </c:extLst>
        </c:ser>
        <c:dLbls>
          <c:showLegendKey val="0"/>
          <c:showVal val="0"/>
          <c:showCatName val="0"/>
          <c:showSerName val="0"/>
          <c:showPercent val="0"/>
          <c:showBubbleSize val="0"/>
        </c:dLbls>
        <c:marker val="1"/>
        <c:smooth val="0"/>
        <c:axId val="8407151"/>
        <c:axId val="1891125808"/>
      </c:lineChart>
      <c:catAx>
        <c:axId val="840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125808"/>
        <c:crosses val="autoZero"/>
        <c:auto val="1"/>
        <c:lblAlgn val="ctr"/>
        <c:lblOffset val="100"/>
        <c:noMultiLvlLbl val="0"/>
      </c:catAx>
      <c:valAx>
        <c:axId val="1891125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£m</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Revenue &amp; Adjusted Operating Profit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'02_Performance'!$H$6</c:f>
              <c:strCache>
                <c:ptCount val="1"/>
                <c:pt idx="0">
                  <c:v>Revenue</c:v>
                </c:pt>
              </c:strCache>
            </c:strRef>
          </c:tx>
          <c:spPr>
            <a:solidFill>
              <a:schemeClr val="accent1"/>
            </a:solidFill>
            <a:ln>
              <a:noFill/>
            </a:ln>
            <a:effectLst/>
          </c:spPr>
          <c:invertIfNegative val="0"/>
          <c:cat>
            <c:strRef>
              <c:f>'02_Performance'!$I$5:$M$5</c:f>
              <c:strCache>
                <c:ptCount val="5"/>
                <c:pt idx="0">
                  <c:v>FY21/22</c:v>
                </c:pt>
                <c:pt idx="1">
                  <c:v>FY22/23</c:v>
                </c:pt>
                <c:pt idx="2">
                  <c:v>FY23/24</c:v>
                </c:pt>
                <c:pt idx="3">
                  <c:v>FY24/25</c:v>
                </c:pt>
                <c:pt idx="4">
                  <c:v>FY25/26</c:v>
                </c:pt>
              </c:strCache>
            </c:strRef>
          </c:cat>
          <c:val>
            <c:numRef>
              <c:f>'02_Performance'!$I$6:$M$6</c:f>
              <c:numCache>
                <c:formatCode>#,##0</c:formatCode>
                <c:ptCount val="5"/>
                <c:pt idx="0">
                  <c:v>61344</c:v>
                </c:pt>
                <c:pt idx="1">
                  <c:v>65322</c:v>
                </c:pt>
                <c:pt idx="2">
                  <c:v>68187</c:v>
                </c:pt>
                <c:pt idx="3">
                  <c:v>69916</c:v>
                </c:pt>
                <c:pt idx="4">
                  <c:v>73712</c:v>
                </c:pt>
              </c:numCache>
            </c:numRef>
          </c:val>
          <c:extLst>
            <c:ext xmlns:c16="http://schemas.microsoft.com/office/drawing/2014/chart" uri="{C3380CC4-5D6E-409C-BE32-E72D297353CC}">
              <c16:uniqueId val="{00000000-A966-4B21-B1A5-2396F2A7FDB9}"/>
            </c:ext>
          </c:extLst>
        </c:ser>
        <c:dLbls>
          <c:showLegendKey val="0"/>
          <c:showVal val="0"/>
          <c:showCatName val="0"/>
          <c:showSerName val="0"/>
          <c:showPercent val="0"/>
          <c:showBubbleSize val="0"/>
        </c:dLbls>
        <c:gapWidth val="219"/>
        <c:overlap val="-27"/>
        <c:axId val="1762536767"/>
        <c:axId val="1768729583"/>
      </c:barChart>
      <c:lineChart>
        <c:grouping val="standard"/>
        <c:varyColors val="0"/>
        <c:ser>
          <c:idx val="1"/>
          <c:order val="1"/>
          <c:tx>
            <c:strRef>
              <c:f>'02_Performance'!$H$7</c:f>
              <c:strCache>
                <c:ptCount val="1"/>
                <c:pt idx="0">
                  <c:v>Adjusted Operating Profit</c:v>
                </c:pt>
              </c:strCache>
            </c:strRef>
          </c:tx>
          <c:spPr>
            <a:ln w="28575" cap="rnd">
              <a:solidFill>
                <a:schemeClr val="accent2"/>
              </a:solidFill>
              <a:round/>
            </a:ln>
            <a:effectLst/>
          </c:spPr>
          <c:marker>
            <c:symbol val="none"/>
          </c:marker>
          <c:cat>
            <c:strRef>
              <c:f>'02_Performance'!$I$5:$M$5</c:f>
              <c:strCache>
                <c:ptCount val="5"/>
                <c:pt idx="0">
                  <c:v>FY21/22</c:v>
                </c:pt>
                <c:pt idx="1">
                  <c:v>FY22/23</c:v>
                </c:pt>
                <c:pt idx="2">
                  <c:v>FY23/24</c:v>
                </c:pt>
                <c:pt idx="3">
                  <c:v>FY24/25</c:v>
                </c:pt>
                <c:pt idx="4">
                  <c:v>FY25/26</c:v>
                </c:pt>
              </c:strCache>
            </c:strRef>
          </c:cat>
          <c:val>
            <c:numRef>
              <c:f>'02_Performance'!$I$7:$M$7</c:f>
              <c:numCache>
                <c:formatCode>#,##0</c:formatCode>
                <c:ptCount val="5"/>
                <c:pt idx="0">
                  <c:v>2825</c:v>
                </c:pt>
                <c:pt idx="1">
                  <c:v>2509</c:v>
                </c:pt>
                <c:pt idx="2">
                  <c:v>2829</c:v>
                </c:pt>
                <c:pt idx="3">
                  <c:v>3128</c:v>
                </c:pt>
                <c:pt idx="4">
                  <c:v>3152</c:v>
                </c:pt>
              </c:numCache>
            </c:numRef>
          </c:val>
          <c:smooth val="0"/>
          <c:extLst>
            <c:ext xmlns:c16="http://schemas.microsoft.com/office/drawing/2014/chart" uri="{C3380CC4-5D6E-409C-BE32-E72D297353CC}">
              <c16:uniqueId val="{00000001-A966-4B21-B1A5-2396F2A7FDB9}"/>
            </c:ext>
          </c:extLst>
        </c:ser>
        <c:dLbls>
          <c:showLegendKey val="0"/>
          <c:showVal val="0"/>
          <c:showCatName val="0"/>
          <c:showSerName val="0"/>
          <c:showPercent val="0"/>
          <c:showBubbleSize val="0"/>
        </c:dLbls>
        <c:marker val="1"/>
        <c:smooth val="0"/>
        <c:axId val="1762556255"/>
        <c:axId val="1768730063"/>
      </c:lineChart>
      <c:catAx>
        <c:axId val="176253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729583"/>
        <c:crosses val="autoZero"/>
        <c:auto val="1"/>
        <c:lblAlgn val="ctr"/>
        <c:lblOffset val="100"/>
        <c:noMultiLvlLbl val="0"/>
      </c:catAx>
      <c:valAx>
        <c:axId val="1768729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Revenue (£m)</a:t>
                </a:r>
                <a:endParaRPr lang="en-GB"/>
              </a:p>
            </c:rich>
          </c:tx>
          <c:layout>
            <c:manualLayout>
              <c:xMode val="edge"/>
              <c:yMode val="edge"/>
              <c:x val="3.0555555555555555E-2"/>
              <c:y val="0.298857903178769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536767"/>
        <c:crosses val="autoZero"/>
        <c:crossBetween val="between"/>
      </c:valAx>
      <c:valAx>
        <c:axId val="176873006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Adjusted Operating Profit (£m)</a:t>
                </a:r>
                <a:endParaRPr lang="en-GB"/>
              </a:p>
            </c:rich>
          </c:tx>
          <c:layout>
            <c:manualLayout>
              <c:xMode val="edge"/>
              <c:yMode val="edge"/>
              <c:x val="0.92458097136421669"/>
              <c:y val="0.171022727272727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556255"/>
        <c:crosses val="max"/>
        <c:crossBetween val="between"/>
      </c:valAx>
      <c:catAx>
        <c:axId val="1762556255"/>
        <c:scaling>
          <c:orientation val="minMax"/>
        </c:scaling>
        <c:delete val="1"/>
        <c:axPos val="b"/>
        <c:numFmt formatCode="General" sourceLinked="1"/>
        <c:majorTickMark val="out"/>
        <c:minorTickMark val="none"/>
        <c:tickLblPos val="nextTo"/>
        <c:crossAx val="1768730063"/>
        <c:crosses val="autoZero"/>
        <c:auto val="1"/>
        <c:lblAlgn val="ctr"/>
        <c:lblOffset val="100"/>
        <c:noMultiLvlLbl val="0"/>
      </c:catAx>
      <c:spPr>
        <a:noFill/>
        <a:ln>
          <a:noFill/>
        </a:ln>
        <a:effectLst/>
      </c:spPr>
    </c:plotArea>
    <c:legend>
      <c:legendPos val="b"/>
      <c:layout>
        <c:manualLayout>
          <c:xMode val="edge"/>
          <c:yMode val="edge"/>
          <c:x val="0.38540704286964123"/>
          <c:y val="0.92187445319335082"/>
          <c:w val="0.4412653519717421"/>
          <c:h val="7.69742442255129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Profitability Margin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'02_Performance'!$H$31</c:f>
              <c:strCache>
                <c:ptCount val="1"/>
                <c:pt idx="0">
                  <c:v>Operating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'02_Performance'!$I$30:$M$30</c:f>
              <c:strCache>
                <c:ptCount val="5"/>
                <c:pt idx="0">
                  <c:v>FY21/22</c:v>
                </c:pt>
                <c:pt idx="1">
                  <c:v>FY22/23</c:v>
                </c:pt>
                <c:pt idx="2">
                  <c:v>FY23/24</c:v>
                </c:pt>
                <c:pt idx="3">
                  <c:v>FY24/25</c:v>
                </c:pt>
                <c:pt idx="4">
                  <c:v>FY25/26</c:v>
                </c:pt>
              </c:strCache>
            </c:strRef>
          </c:cat>
          <c:val>
            <c:numRef>
              <c:f>'02_Performance'!$I$31:$M$31</c:f>
              <c:numCache>
                <c:formatCode>0.0%</c:formatCode>
                <c:ptCount val="5"/>
                <c:pt idx="0">
                  <c:v>4.1731872717788214E-2</c:v>
                </c:pt>
                <c:pt idx="1">
                  <c:v>2.1585377055203452E-2</c:v>
                </c:pt>
                <c:pt idx="2">
                  <c:v>4.1371522430961913E-2</c:v>
                </c:pt>
                <c:pt idx="3">
                  <c:v>3.8775101550431949E-2</c:v>
                </c:pt>
                <c:pt idx="4">
                  <c:v>4.0495441719123074E-2</c:v>
                </c:pt>
              </c:numCache>
            </c:numRef>
          </c:val>
          <c:smooth val="0"/>
          <c:extLst>
            <c:ext xmlns:c16="http://schemas.microsoft.com/office/drawing/2014/chart" uri="{C3380CC4-5D6E-409C-BE32-E72D297353CC}">
              <c16:uniqueId val="{00000000-23DE-45D6-B2E9-BF126E6FFFD3}"/>
            </c:ext>
          </c:extLst>
        </c:ser>
        <c:ser>
          <c:idx val="1"/>
          <c:order val="1"/>
          <c:tx>
            <c:strRef>
              <c:f>'02_Performance'!$H$32</c:f>
              <c:strCache>
                <c:ptCount val="1"/>
                <c:pt idx="0">
                  <c:v>Adjusted Operating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'02_Performance'!$I$30:$M$30</c:f>
              <c:strCache>
                <c:ptCount val="5"/>
                <c:pt idx="0">
                  <c:v>FY21/22</c:v>
                </c:pt>
                <c:pt idx="1">
                  <c:v>FY22/23</c:v>
                </c:pt>
                <c:pt idx="2">
                  <c:v>FY23/24</c:v>
                </c:pt>
                <c:pt idx="3">
                  <c:v>FY24/25</c:v>
                </c:pt>
                <c:pt idx="4">
                  <c:v>FY25/26</c:v>
                </c:pt>
              </c:strCache>
            </c:strRef>
          </c:cat>
          <c:val>
            <c:numRef>
              <c:f>'02_Performance'!$I$32:$M$32</c:f>
              <c:numCache>
                <c:formatCode>0.0%</c:formatCode>
                <c:ptCount val="5"/>
                <c:pt idx="0">
                  <c:v>4.6051773604590507E-2</c:v>
                </c:pt>
                <c:pt idx="1">
                  <c:v>3.840972413581948E-2</c:v>
                </c:pt>
                <c:pt idx="2">
                  <c:v>4.1488846847639579E-2</c:v>
                </c:pt>
                <c:pt idx="3">
                  <c:v>4.4739401567595399E-2</c:v>
                </c:pt>
                <c:pt idx="4">
                  <c:v>4.2761015845452575E-2</c:v>
                </c:pt>
              </c:numCache>
            </c:numRef>
          </c:val>
          <c:smooth val="0"/>
          <c:extLst>
            <c:ext xmlns:c16="http://schemas.microsoft.com/office/drawing/2014/chart" uri="{C3380CC4-5D6E-409C-BE32-E72D297353CC}">
              <c16:uniqueId val="{00000001-23DE-45D6-B2E9-BF126E6FFFD3}"/>
            </c:ext>
          </c:extLst>
        </c:ser>
        <c:ser>
          <c:idx val="2"/>
          <c:order val="2"/>
          <c:tx>
            <c:strRef>
              <c:f>'02_Performance'!$H$33</c:f>
              <c:strCache>
                <c:ptCount val="1"/>
                <c:pt idx="0">
                  <c:v>Net Profit Margin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'02_Performance'!$I$30:$M$30</c:f>
              <c:strCache>
                <c:ptCount val="5"/>
                <c:pt idx="0">
                  <c:v>FY21/22</c:v>
                </c:pt>
                <c:pt idx="1">
                  <c:v>FY22/23</c:v>
                </c:pt>
                <c:pt idx="2">
                  <c:v>FY23/24</c:v>
                </c:pt>
                <c:pt idx="3">
                  <c:v>FY24/25</c:v>
                </c:pt>
                <c:pt idx="4">
                  <c:v>FY25/26</c:v>
                </c:pt>
              </c:strCache>
            </c:strRef>
          </c:cat>
          <c:val>
            <c:numRef>
              <c:f>'02_Performance'!$I$33:$M$33</c:f>
              <c:numCache>
                <c:formatCode>0.0%</c:formatCode>
                <c:ptCount val="5"/>
                <c:pt idx="0">
                  <c:v>2.4827203964527908E-2</c:v>
                </c:pt>
                <c:pt idx="1">
                  <c:v>1.0073175959094944E-2</c:v>
                </c:pt>
                <c:pt idx="2">
                  <c:v>2.5870033877425317E-2</c:v>
                </c:pt>
                <c:pt idx="3">
                  <c:v>2.2941815893357743E-2</c:v>
                </c:pt>
                <c:pt idx="4">
                  <c:v>2.4242999782939006E-2</c:v>
                </c:pt>
              </c:numCache>
            </c:numRef>
          </c:val>
          <c:smooth val="0"/>
          <c:extLst>
            <c:ext xmlns:c16="http://schemas.microsoft.com/office/drawing/2014/chart" uri="{C3380CC4-5D6E-409C-BE32-E72D297353CC}">
              <c16:uniqueId val="{00000002-23DE-45D6-B2E9-BF126E6FFFD3}"/>
            </c:ext>
          </c:extLst>
        </c:ser>
        <c:dLbls>
          <c:showLegendKey val="0"/>
          <c:showVal val="0"/>
          <c:showCatName val="0"/>
          <c:showSerName val="0"/>
          <c:showPercent val="0"/>
          <c:showBubbleSize val="0"/>
        </c:dLbls>
        <c:marker val="1"/>
        <c:smooth val="0"/>
        <c:axId val="1762537231"/>
        <c:axId val="1768812143"/>
      </c:lineChart>
      <c:catAx>
        <c:axId val="176253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812143"/>
        <c:crosses val="autoZero"/>
        <c:auto val="1"/>
        <c:lblAlgn val="ctr"/>
        <c:lblOffset val="100"/>
        <c:noMultiLvlLbl val="0"/>
      </c:catAx>
      <c:valAx>
        <c:axId val="1768812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537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Free Cash Flow &amp; Capex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'04_Cash_Flow'!$H$6</c:f>
              <c:strCache>
                <c:ptCount val="1"/>
                <c:pt idx="0">
                  <c:v>Retail Free Cash Flow</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'04_Cash_Flow'!$I$5:$M$5</c:f>
              <c:strCache>
                <c:ptCount val="5"/>
                <c:pt idx="0">
                  <c:v>FY21/22</c:v>
                </c:pt>
                <c:pt idx="1">
                  <c:v>FY22/23</c:v>
                </c:pt>
                <c:pt idx="2">
                  <c:v>FY23/24</c:v>
                </c:pt>
                <c:pt idx="3">
                  <c:v>FY24/25</c:v>
                </c:pt>
                <c:pt idx="4">
                  <c:v>FY25/26</c:v>
                </c:pt>
              </c:strCache>
            </c:strRef>
          </c:cat>
          <c:val>
            <c:numRef>
              <c:f>'04_Cash_Flow'!$I$6:$M$6</c:f>
              <c:numCache>
                <c:formatCode>#,##0</c:formatCode>
                <c:ptCount val="5"/>
                <c:pt idx="0">
                  <c:v>2277</c:v>
                </c:pt>
                <c:pt idx="1">
                  <c:v>2133</c:v>
                </c:pt>
                <c:pt idx="2">
                  <c:v>2063</c:v>
                </c:pt>
                <c:pt idx="3">
                  <c:v>1750</c:v>
                </c:pt>
                <c:pt idx="4">
                  <c:v>1957</c:v>
                </c:pt>
              </c:numCache>
            </c:numRef>
          </c:val>
          <c:smooth val="0"/>
          <c:extLst>
            <c:ext xmlns:c16="http://schemas.microsoft.com/office/drawing/2014/chart" uri="{C3380CC4-5D6E-409C-BE32-E72D297353CC}">
              <c16:uniqueId val="{00000000-4784-4B5D-9370-4C8872028842}"/>
            </c:ext>
          </c:extLst>
        </c:ser>
        <c:ser>
          <c:idx val="1"/>
          <c:order val="1"/>
          <c:tx>
            <c:strRef>
              <c:f>'04_Cash_Flow'!$H$7</c:f>
              <c:strCache>
                <c:ptCount val="1"/>
                <c:pt idx="0">
                  <c:v>Capex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'04_Cash_Flow'!$I$5:$M$5</c:f>
              <c:strCache>
                <c:ptCount val="5"/>
                <c:pt idx="0">
                  <c:v>FY21/22</c:v>
                </c:pt>
                <c:pt idx="1">
                  <c:v>FY22/23</c:v>
                </c:pt>
                <c:pt idx="2">
                  <c:v>FY23/24</c:v>
                </c:pt>
                <c:pt idx="3">
                  <c:v>FY24/25</c:v>
                </c:pt>
                <c:pt idx="4">
                  <c:v>FY25/26</c:v>
                </c:pt>
              </c:strCache>
            </c:strRef>
          </c:cat>
          <c:val>
            <c:numRef>
              <c:f>'04_Cash_Flow'!$I$7:$M$7</c:f>
              <c:numCache>
                <c:formatCode>#,##0</c:formatCode>
                <c:ptCount val="5"/>
                <c:pt idx="0">
                  <c:v>1101</c:v>
                </c:pt>
                <c:pt idx="1">
                  <c:v>1235</c:v>
                </c:pt>
                <c:pt idx="2">
                  <c:v>1314</c:v>
                </c:pt>
                <c:pt idx="3">
                  <c:v>1457</c:v>
                </c:pt>
                <c:pt idx="4">
                  <c:v>1511</c:v>
                </c:pt>
              </c:numCache>
            </c:numRef>
          </c:val>
          <c:smooth val="0"/>
          <c:extLst>
            <c:ext xmlns:c16="http://schemas.microsoft.com/office/drawing/2014/chart" uri="{C3380CC4-5D6E-409C-BE32-E72D297353CC}">
              <c16:uniqueId val="{00000001-4784-4B5D-9370-4C8872028842}"/>
            </c:ext>
          </c:extLst>
        </c:ser>
        <c:dLbls>
          <c:showLegendKey val="0"/>
          <c:showVal val="0"/>
          <c:showCatName val="0"/>
          <c:showSerName val="0"/>
          <c:showPercent val="0"/>
          <c:showBubbleSize val="0"/>
        </c:dLbls>
        <c:marker val="1"/>
        <c:smooth val="0"/>
        <c:axId val="8407151"/>
        <c:axId val="1891125808"/>
      </c:lineChart>
      <c:catAx>
        <c:axId val="840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125808"/>
        <c:crosses val="autoZero"/>
        <c:auto val="1"/>
        <c:lblAlgn val="ctr"/>
        <c:lblOffset val="100"/>
        <c:noMultiLvlLbl val="0"/>
      </c:catAx>
      <c:valAx>
        <c:axId val="1891125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£m</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148167</xdr:colOff>
      <xdr:row>37</xdr:row>
      <xdr:rowOff>151341</xdr:rowOff>
    </xdr:from>
    <xdr:to>
      <xdr:col>5</xdr:col>
      <xdr:colOff>920750</xdr:colOff>
      <xdr:row>43</xdr:row>
      <xdr:rowOff>169333</xdr:rowOff>
    </xdr:to>
    <xdr:sp macro="" textlink="">
      <xdr:nvSpPr>
        <xdr:cNvPr id="2" name="TextBox 1">
          <a:extLst>
            <a:ext uri="{FF2B5EF4-FFF2-40B4-BE49-F238E27FC236}">
              <a16:creationId xmlns:a16="http://schemas.microsoft.com/office/drawing/2014/main" id="{DCA906B6-3D1B-03C6-E7D2-4D4B95965CF3}"/>
            </a:ext>
          </a:extLst>
        </xdr:cNvPr>
        <xdr:cNvSpPr txBox="1"/>
      </xdr:nvSpPr>
      <xdr:spPr>
        <a:xfrm>
          <a:off x="148167" y="7506758"/>
          <a:ext cx="7651750" cy="1097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FY2022/23 figures use restated continuing-operations comparatives reported in FY2023/24 following the classification of Tesco's banking operations as discontinued. FY2025/26 statutory measures reflect a 53-week reporting period, while selected alternative performance measures (including adjusted operating profit) are presented on Tesco's comparable 52-week basis. Balance-sheet comparatives for FY2021/22 and FY2022/23 use Tesco's subsequently restated figures following the adoption of IFRS 17. Current assets and current liabilities include amounts classified as held for sale where applicable.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510540</xdr:colOff>
      <xdr:row>9</xdr:row>
      <xdr:rowOff>118110</xdr:rowOff>
    </xdr:from>
    <xdr:to>
      <xdr:col>16</xdr:col>
      <xdr:colOff>281940</xdr:colOff>
      <xdr:row>24</xdr:row>
      <xdr:rowOff>118110</xdr:rowOff>
    </xdr:to>
    <xdr:graphicFrame macro="">
      <xdr:nvGraphicFramePr>
        <xdr:cNvPr id="2" name="Chart 1">
          <a:extLst>
            <a:ext uri="{FF2B5EF4-FFF2-40B4-BE49-F238E27FC236}">
              <a16:creationId xmlns:a16="http://schemas.microsoft.com/office/drawing/2014/main" id="{CA1BA38F-E71F-B3FA-990E-4E5917C44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624840</xdr:colOff>
      <xdr:row>34</xdr:row>
      <xdr:rowOff>19050</xdr:rowOff>
    </xdr:from>
    <xdr:to>
      <xdr:col>15</xdr:col>
      <xdr:colOff>251460</xdr:colOff>
      <xdr:row>49</xdr:row>
      <xdr:rowOff>76200</xdr:rowOff>
    </xdr:to>
    <xdr:graphicFrame macro="">
      <xdr:nvGraphicFramePr>
        <xdr:cNvPr id="3" name="Chart 2">
          <a:extLst>
            <a:ext uri="{FF2B5EF4-FFF2-40B4-BE49-F238E27FC236}">
              <a16:creationId xmlns:a16="http://schemas.microsoft.com/office/drawing/2014/main" id="{5A8306F4-D881-6237-9E91-1486941DC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144780</xdr:colOff>
      <xdr:row>57</xdr:row>
      <xdr:rowOff>5624</xdr:rowOff>
    </xdr:from>
    <xdr:to>
      <xdr:col>13</xdr:col>
      <xdr:colOff>449580</xdr:colOff>
      <xdr:row>72</xdr:row>
      <xdr:rowOff>5625</xdr:rowOff>
    </xdr:to>
    <xdr:graphicFrame macro="">
      <xdr:nvGraphicFramePr>
        <xdr:cNvPr id="5" name="Chart 4">
          <a:extLst>
            <a:ext uri="{FF2B5EF4-FFF2-40B4-BE49-F238E27FC236}">
              <a16:creationId xmlns:a16="http://schemas.microsoft.com/office/drawing/2014/main" id="{3F7CC8B3-E9D6-3877-B2A8-2074C8B43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76200</xdr:colOff>
      <xdr:row>75</xdr:row>
      <xdr:rowOff>43544</xdr:rowOff>
    </xdr:from>
    <xdr:ext cx="9590314" cy="4942114"/>
    <xdr:sp macro="" textlink="">
      <xdr:nvSpPr>
        <xdr:cNvPr id="4" name="TextBox 3">
          <a:extLst>
            <a:ext uri="{FF2B5EF4-FFF2-40B4-BE49-F238E27FC236}">
              <a16:creationId xmlns:a16="http://schemas.microsoft.com/office/drawing/2014/main" id="{C83A0BC0-3A62-4926-0715-914665F6EA39}"/>
            </a:ext>
          </a:extLst>
        </xdr:cNvPr>
        <xdr:cNvSpPr txBox="1"/>
      </xdr:nvSpPr>
      <xdr:spPr>
        <a:xfrm>
          <a:off x="2471057" y="16415658"/>
          <a:ext cx="9590314" cy="4942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b="1"/>
            <a:t>1. Revenue Growth : </a:t>
          </a:r>
          <a:r>
            <a:rPr lang="en-GB" sz="1200"/>
            <a:t>Tesco’s statutory revenue increased from £61.3bn in FY2021/22 to £73.7bn in FY2025/26, equivalent to roughly 4.7% CAGR across the period. Growth was supported by resilient customer demand, market-share gains, stronger volumes and Tesco’s investment in value, including Clubcard Prices and Aldi Price Match. In FY2023/24, Tesco also noted that lower fuel prices reduced reported revenue growth despite stronger underlying retail sales.</a:t>
          </a:r>
        </a:p>
        <a:p>
          <a:endParaRPr lang="en-GB" sz="1200"/>
        </a:p>
        <a:p>
          <a:r>
            <a:rPr lang="en-GB" sz="1200" b="1"/>
            <a:t>2. Profitability Recovery :</a:t>
          </a:r>
          <a:r>
            <a:rPr lang="en-GB" sz="1200" b="1" baseline="0"/>
            <a:t> </a:t>
          </a:r>
          <a:r>
            <a:rPr lang="en-GB" sz="1200" b="0" baseline="0"/>
            <a:t>Profitability weakened significantly in FY2022/23, with adjusted operating profit declining as Tesco absorbed substantial cost inflation, lower year-on-year volumes and continued investment in its customer offer. Tesco reported that its Save to Invest programme helped offset some of these pressures. In FY2023/24, adjusted operating profit recovered strongly as sales improved, volumes turned positive and approximately £640m of efficiency savings helped offset cost headwinds and investment in value, quality and service.</a:t>
          </a:r>
        </a:p>
        <a:p>
          <a:endParaRPr lang="en-GB" sz="1200" b="0" baseline="0"/>
        </a:p>
        <a:p>
          <a:r>
            <a:rPr lang="en-GB" sz="1200" b="1" baseline="0"/>
            <a:t>3. Statutory vs Adjusted Performance : </a:t>
          </a:r>
          <a:r>
            <a:rPr lang="en-GB" sz="1200" b="0" baseline="0"/>
            <a:t>The sharp movement in statutory operating profit around FY2022/23 and FY2023/24 should not be interpreted as purely operational. FY2022/23 included a £982m non-cash impairment charge, mainly linked to higher discount rates, while FY2023/24 included a £28m net impairment release. This explains why statutory operating profit increased by about 100% in FY2023/24 even though adjusted operating profit increased by a much smaller 12.8%.</a:t>
          </a:r>
        </a:p>
        <a:p>
          <a:endParaRPr lang="en-GB" sz="1200" b="0" baseline="0"/>
        </a:p>
        <a:p>
          <a:r>
            <a:rPr lang="en-GB" sz="1200" b="1" baseline="0"/>
            <a:t>4. Five-Year Performance : </a:t>
          </a:r>
          <a:r>
            <a:rPr lang="en-GB" sz="1200" b="0" baseline="0"/>
            <a:t>Across the full period, Tesco maintained steady top-line growth while adjusted operating profit grew more slowly than revenue overall. By FY2024/25, adjusted operating profit had risen to £3.128bn, supported by volume growth and further efficiency savings. In FY2025/26, adjusted operating profit increased only 0.8% on a comparable 52-week basis despite stronger sales growth, because market-share gains and Save to Invest savings were partly offset by significant investment in the customer offer and operating cost inflation.</a:t>
          </a:r>
        </a:p>
        <a:p>
          <a:endParaRPr lang="en-GB" sz="1200" b="0" baseline="0"/>
        </a:p>
        <a:p>
          <a:r>
            <a:rPr lang="en-GB" sz="1200" b="1" baseline="0"/>
            <a:t>Analyst Takeaway :  </a:t>
          </a:r>
          <a:r>
            <a:rPr lang="en-GB" sz="1200" b="0" baseline="0"/>
            <a:t>Tesco demonstrated resilient revenue growth and recovered profitability after FY2022/23, but the five-year trend also shows that revenue growth does not automatically translate into equivalent profit growth. Cost inflation, customer investment, impairments and efficiency savings all materially influenced reported profitability.</a:t>
          </a:r>
        </a:p>
        <a:p>
          <a:r>
            <a:rPr lang="en-GB" sz="1200" b="0" baseline="0"/>
            <a:t> </a:t>
          </a:r>
        </a:p>
        <a:p>
          <a:endParaRPr lang="en-GB" sz="1200" b="0" baseline="0"/>
        </a:p>
        <a:p>
          <a:r>
            <a:rPr lang="en-GB" sz="1200" b="0" baseline="0"/>
            <a:t>Source: Tesco PLC annual reports and preliminary results; author calculations.</a:t>
          </a:r>
        </a:p>
        <a:p>
          <a:endParaRPr lang="en-GB" sz="1200" b="0" baseline="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8</xdr:col>
      <xdr:colOff>116417</xdr:colOff>
      <xdr:row>12</xdr:row>
      <xdr:rowOff>168275</xdr:rowOff>
    </xdr:from>
    <xdr:to>
      <xdr:col>15</xdr:col>
      <xdr:colOff>391583</xdr:colOff>
      <xdr:row>28</xdr:row>
      <xdr:rowOff>32808</xdr:rowOff>
    </xdr:to>
    <xdr:graphicFrame macro="">
      <xdr:nvGraphicFramePr>
        <xdr:cNvPr id="2" name="Chart 1">
          <a:extLst>
            <a:ext uri="{FF2B5EF4-FFF2-40B4-BE49-F238E27FC236}">
              <a16:creationId xmlns:a16="http://schemas.microsoft.com/office/drawing/2014/main" id="{50525767-F366-0647-74AE-2C895CD01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95251</xdr:colOff>
      <xdr:row>35</xdr:row>
      <xdr:rowOff>147108</xdr:rowOff>
    </xdr:from>
    <xdr:to>
      <xdr:col>15</xdr:col>
      <xdr:colOff>370417</xdr:colOff>
      <xdr:row>51</xdr:row>
      <xdr:rowOff>11642</xdr:rowOff>
    </xdr:to>
    <xdr:graphicFrame macro="">
      <xdr:nvGraphicFramePr>
        <xdr:cNvPr id="3" name="Chart 2">
          <a:extLst>
            <a:ext uri="{FF2B5EF4-FFF2-40B4-BE49-F238E27FC236}">
              <a16:creationId xmlns:a16="http://schemas.microsoft.com/office/drawing/2014/main" id="{0FF91513-69AE-D849-9D14-E9D2700C2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63499</xdr:colOff>
      <xdr:row>54</xdr:row>
      <xdr:rowOff>126999</xdr:rowOff>
    </xdr:from>
    <xdr:ext cx="8942918" cy="4601260"/>
    <xdr:sp macro="" textlink="">
      <xdr:nvSpPr>
        <xdr:cNvPr id="4" name="TextBox 3">
          <a:extLst>
            <a:ext uri="{FF2B5EF4-FFF2-40B4-BE49-F238E27FC236}">
              <a16:creationId xmlns:a16="http://schemas.microsoft.com/office/drawing/2014/main" id="{CE78E7CA-9CB2-A90C-0BCF-7A1C09AA0AEE}"/>
            </a:ext>
          </a:extLst>
        </xdr:cNvPr>
        <xdr:cNvSpPr txBox="1"/>
      </xdr:nvSpPr>
      <xdr:spPr>
        <a:xfrm>
          <a:off x="63499" y="11578166"/>
          <a:ext cx="8942918" cy="46012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t>1. </a:t>
          </a:r>
          <a:r>
            <a:rPr lang="en-GB" sz="1200" b="1"/>
            <a:t>Liquidity Position </a:t>
          </a:r>
          <a:r>
            <a:rPr lang="en-GB" sz="1200"/>
            <a:t>: Tesco's current ratio remained below 1.0 throughout the five-year period, declining from approximately 0.75 in FY2021/22 to 0.59 in FY2025/26. The quick ratio also declined from approximately 0.60 to 0.39, indicating that current liabilities consistently exceeded liquid and near-liquid current assets. However, these ratios should be interpreted in the context of Tesco's grocery retail business model, which involves rapid inventory turnover, frequent customer payments and significant supplier financing.</a:t>
          </a:r>
        </a:p>
        <a:p>
          <a:endParaRPr lang="en-GB" sz="1200"/>
        </a:p>
        <a:p>
          <a:r>
            <a:rPr lang="en-GB" sz="1200" b="1" i="0" u="none" strike="noStrike">
              <a:solidFill>
                <a:schemeClr val="tx1"/>
              </a:solidFill>
              <a:effectLst/>
              <a:latin typeface="+mn-lt"/>
              <a:ea typeface="+mn-ea"/>
              <a:cs typeface="+mn-cs"/>
            </a:rPr>
            <a:t>2. FY2023/24 Balance-Sheet Distortion</a:t>
          </a:r>
          <a:r>
            <a:rPr lang="en-GB" sz="1200">
              <a:effectLst/>
            </a:rPr>
            <a:t> : </a:t>
          </a:r>
          <a:r>
            <a:rPr lang="en-GB" sz="1200" b="0" i="0" u="none" strike="noStrike">
              <a:solidFill>
                <a:schemeClr val="tx1"/>
              </a:solidFill>
              <a:effectLst/>
              <a:latin typeface="+mn-lt"/>
              <a:ea typeface="+mn-ea"/>
              <a:cs typeface="+mn-cs"/>
            </a:rPr>
            <a:t>FY2023/24 requires particular caution when assessing the trend. Current assets increased to approximately £16.6bn, contributing to a current ratio of 0.81, but this included a significant amount of assets classified as held for sale associated with Tesco's banking disposal. The subsequent reduction in total and current assets therefore partly reflects changes in the Group's structure rather than simply deterioration in its underlying financial position.</a:t>
          </a:r>
          <a:r>
            <a:rPr lang="en-GB" sz="1200">
              <a:effectLst/>
            </a:rPr>
            <a:t> </a:t>
          </a:r>
        </a:p>
        <a:p>
          <a:endParaRPr lang="en-GB" sz="1200">
            <a:effectLst/>
          </a:endParaRPr>
        </a:p>
        <a:p>
          <a:r>
            <a:rPr lang="en-GB" sz="1200" b="1" i="0" u="none" strike="noStrike">
              <a:solidFill>
                <a:schemeClr val="tx1"/>
              </a:solidFill>
              <a:effectLst/>
              <a:latin typeface="+mn-lt"/>
              <a:ea typeface="+mn-ea"/>
              <a:cs typeface="+mn-cs"/>
            </a:rPr>
            <a:t>3. Borrowings and Leverage</a:t>
          </a:r>
          <a:r>
            <a:rPr lang="en-GB" sz="1200">
              <a:effectLst/>
            </a:rPr>
            <a:t> : </a:t>
          </a:r>
          <a:r>
            <a:rPr lang="en-GB" sz="1200" b="0" i="0" u="none" strike="noStrike">
              <a:solidFill>
                <a:schemeClr val="tx1"/>
              </a:solidFill>
              <a:effectLst/>
              <a:latin typeface="+mn-lt"/>
              <a:ea typeface="+mn-ea"/>
              <a:cs typeface="+mn-cs"/>
            </a:rPr>
            <a:t>Total borrowings declined from approximately £7.4bn in FY2021/22 to £7.0bn in FY2024/25, before increasing to approximately £7.2bn in FY2025/26. Borrowings-to-equity nevertheless increased from approximately 0.47x to 0.63x across the full period, partly because Tesco's reported equity base declined relative to FY2021/22.</a:t>
          </a:r>
        </a:p>
        <a:p>
          <a:endParaRPr lang="en-GB" sz="1200" b="0" i="0" u="none" strike="noStrike">
            <a:solidFill>
              <a:schemeClr val="tx1"/>
            </a:solidFill>
            <a:effectLst/>
            <a:latin typeface="+mn-lt"/>
            <a:ea typeface="+mn-ea"/>
            <a:cs typeface="+mn-cs"/>
          </a:endParaRPr>
        </a:p>
        <a:p>
          <a:r>
            <a:rPr lang="en-GB" sz="1200" b="1" i="0" u="none" strike="noStrike">
              <a:solidFill>
                <a:schemeClr val="tx1"/>
              </a:solidFill>
              <a:effectLst/>
              <a:latin typeface="+mn-lt"/>
              <a:ea typeface="+mn-ea"/>
              <a:cs typeface="+mn-cs"/>
            </a:rPr>
            <a:t>4. Capital Structure</a:t>
          </a:r>
          <a:r>
            <a:rPr lang="en-GB" sz="1200">
              <a:effectLst/>
            </a:rPr>
            <a:t> : </a:t>
          </a:r>
          <a:r>
            <a:rPr lang="en-GB" sz="1200" b="0" i="0" u="none" strike="noStrike">
              <a:solidFill>
                <a:schemeClr val="tx1"/>
              </a:solidFill>
              <a:effectLst/>
              <a:latin typeface="+mn-lt"/>
              <a:ea typeface="+mn-ea"/>
              <a:cs typeface="+mn-cs"/>
            </a:rPr>
            <a:t>Liabilities represented approximately 68%–75% of total assets during the period, while equity accounted for approximately 25%–32%. The liabilities-to-assets ratio peaked around FY2023/24 before subsequently moderating, indicating that liabilities remained the dominant source of financing throughout the five-year period.</a:t>
          </a:r>
        </a:p>
        <a:p>
          <a:r>
            <a:rPr lang="en-GB" sz="1200">
              <a:effectLst/>
            </a:rPr>
            <a:t> </a:t>
          </a:r>
        </a:p>
        <a:p>
          <a:r>
            <a:rPr lang="en-GB" sz="1200" b="1" i="0" u="none" strike="noStrike">
              <a:solidFill>
                <a:schemeClr val="tx1"/>
              </a:solidFill>
              <a:effectLst/>
              <a:latin typeface="+mn-lt"/>
              <a:ea typeface="+mn-ea"/>
              <a:cs typeface="+mn-cs"/>
            </a:rPr>
            <a:t>Analyst Takeaway</a:t>
          </a:r>
          <a:r>
            <a:rPr lang="en-GB" sz="1200">
              <a:effectLst/>
            </a:rPr>
            <a:t> : </a:t>
          </a:r>
          <a:r>
            <a:rPr lang="en-GB" sz="1200" b="0" i="0" u="none" strike="noStrike">
              <a:solidFill>
                <a:schemeClr val="tx1"/>
              </a:solidFill>
              <a:effectLst/>
              <a:latin typeface="+mn-lt"/>
              <a:ea typeface="+mn-ea"/>
              <a:cs typeface="+mn-cs"/>
            </a:rPr>
            <a:t>Tesco's balance sheet reflects the working-capital characteristics of a large grocery retailer, with current liabilities consistently exceeding current assets. Although headline liquidity ratios weakened toward FY2025/26, these measures should not be assessed in isolation. Changes associated with the banking disposal, the Group's operating model, cash generation and broader debt obligations should also be considered when assessing financial risk.</a:t>
          </a:r>
          <a:r>
            <a:rPr lang="en-GB" sz="1200">
              <a:effectLst/>
            </a:rPr>
            <a:t> </a:t>
          </a:r>
        </a:p>
        <a:p>
          <a:endParaRPr lang="en-GB" sz="1200" b="0" i="0" u="none" strike="noStrike">
            <a:solidFill>
              <a:schemeClr val="tx1"/>
            </a:solidFill>
            <a:effectLst/>
            <a:latin typeface="+mn-lt"/>
            <a:ea typeface="+mn-ea"/>
            <a:cs typeface="+mn-cs"/>
          </a:endParaRPr>
        </a:p>
        <a:p>
          <a:r>
            <a:rPr lang="en-GB" sz="1200" b="0" i="0" u="none" strike="noStrike">
              <a:solidFill>
                <a:schemeClr val="tx1"/>
              </a:solidFill>
              <a:effectLst/>
              <a:latin typeface="+mn-lt"/>
              <a:ea typeface="+mn-ea"/>
              <a:cs typeface="+mn-cs"/>
            </a:rPr>
            <a:t>                         </a:t>
          </a:r>
          <a:r>
            <a:rPr lang="en-GB" sz="1100" b="0" i="0" u="none" strike="noStrike">
              <a:solidFill>
                <a:schemeClr val="tx1"/>
              </a:solidFill>
              <a:effectLst/>
              <a:latin typeface="+mn-lt"/>
              <a:ea typeface="+mn-ea"/>
              <a:cs typeface="+mn-cs"/>
            </a:rPr>
            <a:t>Source: Tesco PLC annual reports and preliminary results; author calculations.</a:t>
          </a:r>
          <a:r>
            <a:rPr lang="en-GB" sz="1200">
              <a:effectLst/>
            </a:rPr>
            <a:t> </a:t>
          </a:r>
          <a:endParaRPr lang="en-GB" sz="12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7</xdr:col>
      <xdr:colOff>53340</xdr:colOff>
      <xdr:row>8</xdr:row>
      <xdr:rowOff>41910</xdr:rowOff>
    </xdr:from>
    <xdr:to>
      <xdr:col>14</xdr:col>
      <xdr:colOff>358140</xdr:colOff>
      <xdr:row>23</xdr:row>
      <xdr:rowOff>41910</xdr:rowOff>
    </xdr:to>
    <xdr:graphicFrame macro="">
      <xdr:nvGraphicFramePr>
        <xdr:cNvPr id="2" name="Chart 1">
          <a:extLst>
            <a:ext uri="{FF2B5EF4-FFF2-40B4-BE49-F238E27FC236}">
              <a16:creationId xmlns:a16="http://schemas.microsoft.com/office/drawing/2014/main" id="{CBAECDDC-DF41-560F-C4EB-93480DD71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25</xdr:row>
      <xdr:rowOff>83820</xdr:rowOff>
    </xdr:from>
    <xdr:ext cx="6667500" cy="4236720"/>
    <xdr:sp macro="" textlink="">
      <xdr:nvSpPr>
        <xdr:cNvPr id="6" name="TextBox 2">
          <a:extLst>
            <a:ext uri="{FF2B5EF4-FFF2-40B4-BE49-F238E27FC236}">
              <a16:creationId xmlns:a16="http://schemas.microsoft.com/office/drawing/2014/main" id="{F172637D-5DC3-9D42-2228-536AF95E015B}"/>
            </a:ext>
          </a:extLst>
        </xdr:cNvPr>
        <xdr:cNvSpPr txBox="1"/>
      </xdr:nvSpPr>
      <xdr:spPr>
        <a:xfrm>
          <a:off x="0" y="5920740"/>
          <a:ext cx="6667500" cy="4236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b="1" i="0" u="none" strike="noStrike">
              <a:solidFill>
                <a:schemeClr val="tx1"/>
              </a:solidFill>
              <a:effectLst/>
              <a:latin typeface="+mn-lt"/>
              <a:ea typeface="+mn-ea"/>
              <a:cs typeface="+mn-cs"/>
            </a:rPr>
            <a:t>1. Free Cash Flow Trend</a:t>
          </a:r>
          <a:r>
            <a:rPr lang="en-GB" sz="1200">
              <a:effectLst/>
            </a:rPr>
            <a:t> : </a:t>
          </a:r>
          <a:r>
            <a:rPr lang="en-GB" sz="1200" b="0" i="0" u="none" strike="noStrike">
              <a:solidFill>
                <a:schemeClr val="tx1"/>
              </a:solidFill>
              <a:effectLst/>
              <a:latin typeface="+mn-lt"/>
              <a:ea typeface="+mn-ea"/>
              <a:cs typeface="+mn-cs"/>
            </a:rPr>
            <a:t>Retail free cash flow declined from £2.277bn in FY2021/22 to £1.750bn in FY2024/25, before recovering to £1.957bn in FY2025/26. The calculated FCF margin consequently declined from approximately 3.7% to 2.5% before recovering modestly to 2.7%, indicating that revenue growth did not translate proportionately into free cash flow across the period.</a:t>
          </a:r>
          <a:r>
            <a:rPr lang="en-GB" sz="1200">
              <a:effectLst/>
            </a:rPr>
            <a:t> </a:t>
          </a:r>
        </a:p>
        <a:p>
          <a:r>
            <a:rPr lang="en-GB" sz="1200" b="1" i="0" u="none" strike="noStrike">
              <a:solidFill>
                <a:schemeClr val="tx1"/>
              </a:solidFill>
              <a:effectLst/>
              <a:latin typeface="+mn-lt"/>
              <a:ea typeface="+mn-ea"/>
              <a:cs typeface="+mn-cs"/>
            </a:rPr>
            <a:t>2. Increasing Capital Investment</a:t>
          </a:r>
          <a:r>
            <a:rPr lang="en-GB" sz="1200">
              <a:effectLst/>
            </a:rPr>
            <a:t> : </a:t>
          </a:r>
          <a:r>
            <a:rPr lang="en-GB" sz="1200" b="0" i="0" u="none" strike="noStrike">
              <a:solidFill>
                <a:schemeClr val="tx1"/>
              </a:solidFill>
              <a:effectLst/>
              <a:latin typeface="+mn-lt"/>
              <a:ea typeface="+mn-ea"/>
              <a:cs typeface="+mn-cs"/>
            </a:rPr>
            <a:t>Capex increased every year, rising from approximately £1.101bn in FY2021/22 to £1.511bn in FY2025/26 — an increase of roughly 37%. Capex also increased from approximately 1.7% to 2.0% of revenue, indicating a rising level of capital investment relative to Tesco's revenue base.</a:t>
          </a:r>
        </a:p>
        <a:p>
          <a:r>
            <a:rPr lang="en-GB" sz="1200" b="1" i="0" u="none" strike="noStrike">
              <a:solidFill>
                <a:schemeClr val="tx1"/>
              </a:solidFill>
              <a:effectLst/>
              <a:latin typeface="+mn-lt"/>
              <a:ea typeface="+mn-ea"/>
              <a:cs typeface="+mn-cs"/>
            </a:rPr>
            <a:t>3. Profit versus Cash Generation</a:t>
          </a:r>
          <a:r>
            <a:rPr lang="en-GB" sz="1200">
              <a:effectLst/>
            </a:rPr>
            <a:t>  : </a:t>
          </a:r>
          <a:r>
            <a:rPr lang="en-GB" sz="1200" b="0" i="0" u="none" strike="noStrike">
              <a:solidFill>
                <a:schemeClr val="tx1"/>
              </a:solidFill>
              <a:effectLst/>
              <a:latin typeface="+mn-lt"/>
              <a:ea typeface="+mn-ea"/>
              <a:cs typeface="+mn-cs"/>
            </a:rPr>
            <a:t>Free cash flow represented approximately 80.6% of adjusted operating profit in FY2021/22, compared with 62.1% in FY2025/26. The ratio reached approximately 55.9% in FY2024/25 before recovering the following year. This highlights why profitability and cash generation should be assessed together rather than assuming increases in accounting profit automatically produce equivalent increases in free cash flow.</a:t>
          </a:r>
          <a:r>
            <a:rPr lang="en-GB" sz="1200">
              <a:effectLst/>
            </a:rPr>
            <a:t> </a:t>
          </a:r>
        </a:p>
        <a:p>
          <a:r>
            <a:rPr lang="en-GB" sz="1200" b="1" i="0" u="none" strike="noStrike">
              <a:solidFill>
                <a:schemeClr val="tx1"/>
              </a:solidFill>
              <a:effectLst/>
              <a:latin typeface="+mn-lt"/>
              <a:ea typeface="+mn-ea"/>
              <a:cs typeface="+mn-cs"/>
            </a:rPr>
            <a:t>4. FY2025/26 Recovery</a:t>
          </a:r>
          <a:r>
            <a:rPr lang="en-GB" sz="1200">
              <a:effectLst/>
            </a:rPr>
            <a:t> :</a:t>
          </a:r>
          <a:r>
            <a:rPr lang="en-GB" sz="1200" baseline="0">
              <a:effectLst/>
            </a:rPr>
            <a:t> </a:t>
          </a:r>
          <a:r>
            <a:rPr lang="en-GB" sz="1200" b="0" i="0" u="none" strike="noStrike">
              <a:solidFill>
                <a:schemeClr val="tx1"/>
              </a:solidFill>
              <a:effectLst/>
              <a:latin typeface="+mn-lt"/>
              <a:ea typeface="+mn-ea"/>
              <a:cs typeface="+mn-cs"/>
            </a:rPr>
            <a:t>FY2025/26 showed an improvement in cash generation, with free cash flow increasing approximately 11.8% year-on-year despite capex increasing approximately 7.1%. This partially reversed the declining FCF trend observed during the preceding three years.</a:t>
          </a:r>
          <a:r>
            <a:rPr lang="en-GB" sz="1200">
              <a:effectLst/>
            </a:rPr>
            <a:t> </a:t>
          </a:r>
        </a:p>
        <a:p>
          <a:r>
            <a:rPr lang="en-GB" sz="1200" b="1" i="0" u="none" strike="noStrike">
              <a:solidFill>
                <a:schemeClr val="tx1"/>
              </a:solidFill>
              <a:effectLst/>
              <a:latin typeface="+mn-lt"/>
              <a:ea typeface="+mn-ea"/>
              <a:cs typeface="+mn-cs"/>
            </a:rPr>
            <a:t>Analyst Takeaway</a:t>
          </a:r>
          <a:r>
            <a:rPr lang="en-GB" sz="1200">
              <a:effectLst/>
            </a:rPr>
            <a:t> : </a:t>
          </a:r>
          <a:r>
            <a:rPr lang="en-GB" sz="1200" b="0" i="0" u="none" strike="noStrike">
              <a:solidFill>
                <a:schemeClr val="tx1"/>
              </a:solidFill>
              <a:effectLst/>
              <a:latin typeface="+mn-lt"/>
              <a:ea typeface="+mn-ea"/>
              <a:cs typeface="+mn-cs"/>
            </a:rPr>
            <a:t>Tesco remained strongly cash generative throughout the period, but the analysis shows increasing capital investment alongside pressure on free cash flow and cash conversion. The FY2025/26 recovery is therefore encouraging, although cash generation should continue to be assessed alongside profitability, investment requirements and Tesco's wider capital allocation.</a:t>
          </a:r>
          <a:r>
            <a:rPr lang="en-GB" sz="1200">
              <a:effectLst/>
            </a:rPr>
            <a:t> </a:t>
          </a:r>
        </a:p>
        <a:p>
          <a:endParaRPr lang="en-GB" sz="1100" b="0" i="0" u="none" strike="noStrike">
            <a:solidFill>
              <a:schemeClr val="tx1"/>
            </a:solidFill>
            <a:effectLst/>
            <a:latin typeface="+mn-lt"/>
            <a:ea typeface="+mn-ea"/>
            <a:cs typeface="+mn-cs"/>
          </a:endParaRPr>
        </a:p>
        <a:p>
          <a:r>
            <a:rPr lang="en-GB" sz="1100" b="0" i="0" u="none" strike="noStrike">
              <a:solidFill>
                <a:schemeClr val="tx1"/>
              </a:solidFill>
              <a:effectLst/>
              <a:latin typeface="+mn-lt"/>
              <a:ea typeface="+mn-ea"/>
              <a:cs typeface="+mn-cs"/>
            </a:rPr>
            <a:t>                                 Source: Tesco PLC annual reports and preliminary results; author calculations.</a:t>
          </a:r>
          <a:r>
            <a:rPr lang="en-GB">
              <a:effectLst/>
            </a:rPr>
            <a:t> </a:t>
          </a:r>
          <a:endParaRPr lang="en-GB"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50241</xdr:colOff>
      <xdr:row>32</xdr:row>
      <xdr:rowOff>150724</xdr:rowOff>
    </xdr:from>
    <xdr:ext cx="6690528" cy="2545584"/>
    <xdr:sp macro="" textlink="">
      <xdr:nvSpPr>
        <xdr:cNvPr id="2" name="TextBox 1">
          <a:extLst>
            <a:ext uri="{FF2B5EF4-FFF2-40B4-BE49-F238E27FC236}">
              <a16:creationId xmlns:a16="http://schemas.microsoft.com/office/drawing/2014/main" id="{2673EAB5-0F21-9AD4-F02D-CAAA0456D69F}"/>
            </a:ext>
          </a:extLst>
        </xdr:cNvPr>
        <xdr:cNvSpPr txBox="1"/>
      </xdr:nvSpPr>
      <xdr:spPr>
        <a:xfrm>
          <a:off x="50241" y="7569757"/>
          <a:ext cx="6690528" cy="25455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b="1" i="0" u="none" strike="noStrike">
              <a:solidFill>
                <a:schemeClr val="tx1"/>
              </a:solidFill>
              <a:effectLst/>
              <a:latin typeface="+mn-lt"/>
              <a:ea typeface="+mn-ea"/>
              <a:cs typeface="+mn-cs"/>
            </a:rPr>
            <a:t>Profitability</a:t>
          </a:r>
          <a:r>
            <a:rPr lang="en-GB" sz="1200">
              <a:effectLst/>
            </a:rPr>
            <a:t> : </a:t>
          </a:r>
          <a:r>
            <a:rPr lang="en-GB" sz="1200" b="0" i="0" u="none" strike="noStrike">
              <a:solidFill>
                <a:schemeClr val="tx1"/>
              </a:solidFill>
              <a:effectLst/>
              <a:latin typeface="+mn-lt"/>
              <a:ea typeface="+mn-ea"/>
              <a:cs typeface="+mn-cs"/>
            </a:rPr>
            <a:t>Tesco's profitability recovered following the FY2022/23 decline, with adjusted operating margins subsequently remaining around 4%–4.5%.</a:t>
          </a:r>
          <a:r>
            <a:rPr lang="en-GB" sz="1200">
              <a:effectLst/>
            </a:rPr>
            <a:t> </a:t>
          </a:r>
        </a:p>
        <a:p>
          <a:r>
            <a:rPr lang="en-GB" sz="1200" b="1" i="0" u="none" strike="noStrike">
              <a:solidFill>
                <a:schemeClr val="tx1"/>
              </a:solidFill>
              <a:effectLst/>
              <a:latin typeface="+mn-lt"/>
              <a:ea typeface="+mn-ea"/>
              <a:cs typeface="+mn-cs"/>
            </a:rPr>
            <a:t>Liquidity</a:t>
          </a:r>
          <a:r>
            <a:rPr lang="en-GB" sz="1200">
              <a:effectLst/>
            </a:rPr>
            <a:t> :</a:t>
          </a:r>
          <a:r>
            <a:rPr lang="en-GB" sz="1200" b="1" i="0" u="none" strike="noStrike" baseline="0">
              <a:solidFill>
                <a:schemeClr val="tx1"/>
              </a:solidFill>
              <a:effectLst/>
              <a:latin typeface="+mn-lt"/>
              <a:ea typeface="+mn-ea"/>
              <a:cs typeface="+mn-cs"/>
            </a:rPr>
            <a:t> </a:t>
          </a:r>
          <a:r>
            <a:rPr lang="en-GB" sz="1200" b="0" i="0" u="none" strike="noStrike">
              <a:solidFill>
                <a:schemeClr val="tx1"/>
              </a:solidFill>
              <a:effectLst/>
              <a:latin typeface="+mn-lt"/>
              <a:ea typeface="+mn-ea"/>
              <a:cs typeface="+mn-cs"/>
            </a:rPr>
            <a:t>Headline current and quick ratios declined over the five-year period, although these measures need to be interpreted in the context of Tesco's grocery retail working-capital model and changes associated with the banking disposal.</a:t>
          </a:r>
        </a:p>
        <a:p>
          <a:r>
            <a:rPr lang="en-GB" sz="1200">
              <a:effectLst/>
            </a:rPr>
            <a:t> </a:t>
          </a:r>
          <a:r>
            <a:rPr lang="en-GB" sz="1200" b="1" i="0" u="none" strike="noStrike">
              <a:solidFill>
                <a:schemeClr val="tx1"/>
              </a:solidFill>
              <a:effectLst/>
              <a:latin typeface="+mn-lt"/>
              <a:ea typeface="+mn-ea"/>
              <a:cs typeface="+mn-cs"/>
            </a:rPr>
            <a:t>Leverage</a:t>
          </a:r>
          <a:r>
            <a:rPr lang="en-GB" sz="1200">
              <a:effectLst/>
            </a:rPr>
            <a:t> : </a:t>
          </a:r>
          <a:r>
            <a:rPr lang="en-GB" sz="1200" b="0" i="0" u="none" strike="noStrike">
              <a:solidFill>
                <a:schemeClr val="tx1"/>
              </a:solidFill>
              <a:effectLst/>
              <a:latin typeface="+mn-lt"/>
              <a:ea typeface="+mn-ea"/>
              <a:cs typeface="+mn-cs"/>
            </a:rPr>
            <a:t>Borrowings remained relatively stable in absolute terms, while borrowings-to-equity increased as Tesco's reported equity base declined compared with FY2021/22.</a:t>
          </a:r>
          <a:r>
            <a:rPr lang="en-GB" sz="1200">
              <a:effectLst/>
            </a:rPr>
            <a:t> </a:t>
          </a:r>
        </a:p>
        <a:p>
          <a:r>
            <a:rPr lang="en-GB" sz="1200" b="1" i="0" u="none" strike="noStrike">
              <a:solidFill>
                <a:schemeClr val="tx1"/>
              </a:solidFill>
              <a:effectLst/>
              <a:latin typeface="+mn-lt"/>
              <a:ea typeface="+mn-ea"/>
              <a:cs typeface="+mn-cs"/>
            </a:rPr>
            <a:t>Cash Generation</a:t>
          </a:r>
          <a:r>
            <a:rPr lang="en-GB" sz="1200">
              <a:effectLst/>
            </a:rPr>
            <a:t> : </a:t>
          </a:r>
          <a:r>
            <a:rPr lang="en-GB" sz="1200" b="0" i="0" u="none" strike="noStrike">
              <a:solidFill>
                <a:schemeClr val="tx1"/>
              </a:solidFill>
              <a:effectLst/>
              <a:latin typeface="+mn-lt"/>
              <a:ea typeface="+mn-ea"/>
              <a:cs typeface="+mn-cs"/>
            </a:rPr>
            <a:t>Tesco remained free-cash-flow positive throughout the period, although FCF margin and FCF relative to adjusted operating profit were lower in FY2025/26 than FY2021/22.</a:t>
          </a:r>
          <a:r>
            <a:rPr lang="en-GB" sz="1200">
              <a:effectLst/>
            </a:rPr>
            <a:t> </a:t>
          </a:r>
        </a:p>
        <a:p>
          <a:r>
            <a:rPr lang="en-GB" sz="1200" b="1" i="0" u="none" strike="noStrike">
              <a:solidFill>
                <a:schemeClr val="tx1"/>
              </a:solidFill>
              <a:effectLst/>
              <a:latin typeface="+mn-lt"/>
              <a:ea typeface="+mn-ea"/>
              <a:cs typeface="+mn-cs"/>
            </a:rPr>
            <a:t>Overall Assessment</a:t>
          </a:r>
          <a:r>
            <a:rPr lang="en-GB" sz="1200">
              <a:effectLst/>
            </a:rPr>
            <a:t> : </a:t>
          </a:r>
          <a:r>
            <a:rPr lang="en-GB" sz="1200" b="0" i="0" u="none" strike="noStrike">
              <a:solidFill>
                <a:schemeClr val="tx1"/>
              </a:solidFill>
              <a:effectLst/>
              <a:latin typeface="+mn-lt"/>
              <a:ea typeface="+mn-ea"/>
              <a:cs typeface="+mn-cs"/>
            </a:rPr>
            <a:t>The five-year analysis indicates resilient revenue growth and a recovery in profitability, alongside continued positive free cash generation. However, declining headline liquidity ratios, a higher borrowings-to-equity ratio and weaker free-cash-flow conversion relative to the beginning of the period are areas that warrant continued monitoring.</a:t>
          </a:r>
          <a:r>
            <a:rPr lang="en-GB" sz="1200">
              <a:effectLst/>
            </a:rPr>
            <a:t> </a:t>
          </a:r>
        </a:p>
        <a:p>
          <a:endParaRPr lang="en-GB" sz="11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180562</xdr:colOff>
      <xdr:row>8</xdr:row>
      <xdr:rowOff>110876</xdr:rowOff>
    </xdr:from>
    <xdr:to>
      <xdr:col>2</xdr:col>
      <xdr:colOff>896841</xdr:colOff>
      <xdr:row>19</xdr:row>
      <xdr:rowOff>110877</xdr:rowOff>
    </xdr:to>
    <xdr:graphicFrame macro="">
      <xdr:nvGraphicFramePr>
        <xdr:cNvPr id="2" name="Chart 1">
          <a:extLst>
            <a:ext uri="{FF2B5EF4-FFF2-40B4-BE49-F238E27FC236}">
              <a16:creationId xmlns:a16="http://schemas.microsoft.com/office/drawing/2014/main" id="{61A130F0-F844-4920-9039-96A20394C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904460</xdr:colOff>
      <xdr:row>8</xdr:row>
      <xdr:rowOff>118496</xdr:rowOff>
    </xdr:from>
    <xdr:to>
      <xdr:col>6</xdr:col>
      <xdr:colOff>111981</xdr:colOff>
      <xdr:row>19</xdr:row>
      <xdr:rowOff>126117</xdr:rowOff>
    </xdr:to>
    <xdr:graphicFrame macro="">
      <xdr:nvGraphicFramePr>
        <xdr:cNvPr id="3" name="Chart 2">
          <a:extLst>
            <a:ext uri="{FF2B5EF4-FFF2-40B4-BE49-F238E27FC236}">
              <a16:creationId xmlns:a16="http://schemas.microsoft.com/office/drawing/2014/main" id="{524FADB9-A855-40FC-97E7-B043313DB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100606</xdr:colOff>
      <xdr:row>22</xdr:row>
      <xdr:rowOff>54112</xdr:rowOff>
    </xdr:from>
    <xdr:to>
      <xdr:col>2</xdr:col>
      <xdr:colOff>824506</xdr:colOff>
      <xdr:row>34</xdr:row>
      <xdr:rowOff>92213</xdr:rowOff>
    </xdr:to>
    <xdr:graphicFrame macro="">
      <xdr:nvGraphicFramePr>
        <xdr:cNvPr id="4" name="Chart 3">
          <a:extLst>
            <a:ext uri="{FF2B5EF4-FFF2-40B4-BE49-F238E27FC236}">
              <a16:creationId xmlns:a16="http://schemas.microsoft.com/office/drawing/2014/main" id="{29F482CA-BF6D-4D0E-9DE9-E97FAD34E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6</xdr:row>
      <xdr:rowOff>152400</xdr:rowOff>
    </xdr:from>
    <xdr:to>
      <xdr:col>8</xdr:col>
      <xdr:colOff>274320</xdr:colOff>
      <xdr:row>16</xdr:row>
      <xdr:rowOff>106680</xdr:rowOff>
    </xdr:to>
    <xdr:sp macro="" textlink="">
      <xdr:nvSpPr>
        <xdr:cNvPr id="2" name="TextBox 1">
          <a:extLst>
            <a:ext uri="{FF2B5EF4-FFF2-40B4-BE49-F238E27FC236}">
              <a16:creationId xmlns:a16="http://schemas.microsoft.com/office/drawing/2014/main" id="{A891CF22-C0B2-BF8D-05DB-5F0680336662}"/>
            </a:ext>
          </a:extLst>
        </xdr:cNvPr>
        <xdr:cNvSpPr txBox="1"/>
      </xdr:nvSpPr>
      <xdr:spPr>
        <a:xfrm>
          <a:off x="0" y="1630680"/>
          <a:ext cx="5151120" cy="1783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Tesco delivered resilient financial performance across the five-year period, with statutory revenue increasing from £61.3bn in FY2021/22 to £73.7bn in FY2025/26, equivalent to approximately 4.7% CAGR. Profitability experienced significant volatility in FY2022/23 before recovering, with adjusted operating profit reaching £3.15bn and adjusted operating margin reaching 4.3% in FY2025/26. Free cash flow remained positive throughout the period, although cash generation weakened through FY2024/25 before recovering to £1.96bn in FY2025/26. Overall, the analysis indicates a business with resilient revenue growth and recovered profitability, alongside areas requiring continued attention including liquidity, leverage and cash conversion.</a:t>
          </a:r>
        </a:p>
      </xdr:txBody>
    </xdr:sp>
    <xdr:clientData/>
  </xdr:twoCellAnchor>
  <xdr:twoCellAnchor>
    <xdr:from>
      <xdr:col>0</xdr:col>
      <xdr:colOff>45720</xdr:colOff>
      <xdr:row>20</xdr:row>
      <xdr:rowOff>144781</xdr:rowOff>
    </xdr:from>
    <xdr:to>
      <xdr:col>8</xdr:col>
      <xdr:colOff>312420</xdr:colOff>
      <xdr:row>34</xdr:row>
      <xdr:rowOff>43543</xdr:rowOff>
    </xdr:to>
    <xdr:sp macro="" textlink="">
      <xdr:nvSpPr>
        <xdr:cNvPr id="3" name="TextBox 2">
          <a:extLst>
            <a:ext uri="{FF2B5EF4-FFF2-40B4-BE49-F238E27FC236}">
              <a16:creationId xmlns:a16="http://schemas.microsoft.com/office/drawing/2014/main" id="{692C4CCE-A6D8-D7C1-A2F6-2440FD647E43}"/>
            </a:ext>
          </a:extLst>
        </xdr:cNvPr>
        <xdr:cNvSpPr txBox="1"/>
      </xdr:nvSpPr>
      <xdr:spPr>
        <a:xfrm>
          <a:off x="45720" y="4357552"/>
          <a:ext cx="7026729" cy="2489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1. Consistent Revenue Growth</a:t>
          </a:r>
          <a:endParaRPr lang="en-GB" sz="1200"/>
        </a:p>
        <a:p>
          <a:r>
            <a:rPr lang="en-GB" sz="1200"/>
            <a:t>Revenue increased from £61.3bn to £73.7bn over the five-year period, representing approximately 4.7% CAGR. Revenue increased in each year analysed, demonstrating resilience in Tesco's top-line performance.</a:t>
          </a:r>
        </a:p>
        <a:p>
          <a:r>
            <a:rPr lang="en-GB" sz="1200" b="1"/>
            <a:t>2. Profitability Recovery</a:t>
          </a:r>
          <a:endParaRPr lang="en-GB" sz="1200"/>
        </a:p>
        <a:p>
          <a:r>
            <a:rPr lang="en-GB" sz="1200"/>
            <a:t>Following the significant FY2022/23 decline, adjusted operating profit recovered from £2.51bn to £3.15bn by FY2025/26. Adjusted operating margin also recovered from 3.8% to 4.3%, indicating improved underlying profitability following the earlier period of pressure.</a:t>
          </a:r>
        </a:p>
        <a:p>
          <a:r>
            <a:rPr lang="en-GB" sz="1200" b="1"/>
            <a:t>3. Positive Free Cash Flow</a:t>
          </a:r>
          <a:endParaRPr lang="en-GB" sz="1200"/>
        </a:p>
        <a:p>
          <a:r>
            <a:rPr lang="en-GB" sz="1200"/>
            <a:t>Tesco generated positive retail free cash flow throughout all five years analysed. FY2025/26 free cash flow increased 11.8% year-on-year to £1.96bn, reversing the declining trend observed over the preceding three years.</a:t>
          </a:r>
        </a:p>
        <a:p>
          <a:r>
            <a:rPr lang="en-GB" sz="1200" b="1"/>
            <a:t>4. Controlled Borrowings</a:t>
          </a:r>
          <a:endParaRPr lang="en-GB" sz="1200"/>
        </a:p>
        <a:p>
          <a:r>
            <a:rPr lang="en-GB" sz="1200"/>
            <a:t>Total borrowings remained relatively stable across the period, moving from approximately £7.40bn in FY2021/22 to £7.20bn in FY2025/26, despite growth in the scale of the business.</a:t>
          </a:r>
        </a:p>
        <a:p>
          <a:endParaRPr lang="en-GB" sz="1100"/>
        </a:p>
      </xdr:txBody>
    </xdr:sp>
    <xdr:clientData/>
  </xdr:twoCellAnchor>
  <xdr:oneCellAnchor>
    <xdr:from>
      <xdr:col>0</xdr:col>
      <xdr:colOff>38101</xdr:colOff>
      <xdr:row>44</xdr:row>
      <xdr:rowOff>121920</xdr:rowOff>
    </xdr:from>
    <xdr:ext cx="5120639" cy="4209870"/>
    <xdr:sp macro="" textlink="">
      <xdr:nvSpPr>
        <xdr:cNvPr id="4" name="TextBox 3">
          <a:extLst>
            <a:ext uri="{FF2B5EF4-FFF2-40B4-BE49-F238E27FC236}">
              <a16:creationId xmlns:a16="http://schemas.microsoft.com/office/drawing/2014/main" id="{C9286940-142A-E6CD-04D1-3D664DA5D58F}"/>
            </a:ext>
          </a:extLst>
        </xdr:cNvPr>
        <xdr:cNvSpPr txBox="1"/>
      </xdr:nvSpPr>
      <xdr:spPr>
        <a:xfrm>
          <a:off x="38101" y="8884920"/>
          <a:ext cx="5120639" cy="4209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t>1. Liquidity</a:t>
          </a:r>
          <a:endParaRPr lang="en-GB" sz="1200"/>
        </a:p>
        <a:p>
          <a:r>
            <a:rPr lang="en-GB" sz="1200"/>
            <a:t>The current ratio declined from 0.75 in FY2021/22 to 0.59 in FY2025/26, while the quick ratio declined from 0.60 to 0.39. These ratios remain below 1.0 and should be monitored, although interpretation should consider Tesco's grocery retail working-capital model and structural balance-sheet changes during the period.</a:t>
          </a:r>
        </a:p>
        <a:p>
          <a:r>
            <a:rPr lang="en-GB" sz="1200" b="1"/>
            <a:t>2. Cash Conversion</a:t>
          </a:r>
          <a:endParaRPr lang="en-GB" sz="1200"/>
        </a:p>
        <a:p>
          <a:r>
            <a:rPr lang="en-GB" sz="1200"/>
            <a:t>Free cash flow represented approximately 80.6% of adjusted operating profit in FY2021/22 compared with 62.1% in FY2025/26, having fallen to 55.9% in FY2024/25. This indicates weaker cash generation relative to underlying operating profitability than at the beginning of the analysis period.</a:t>
          </a:r>
        </a:p>
        <a:p>
          <a:r>
            <a:rPr lang="en-GB" sz="1200" b="1"/>
            <a:t>3. Increasing Capital Investment</a:t>
          </a:r>
          <a:endParaRPr lang="en-GB" sz="1200"/>
        </a:p>
        <a:p>
          <a:r>
            <a:rPr lang="en-GB" sz="1200" b="0"/>
            <a:t>Capex increased from approximately £1.10bn in FY2021/22 to £1.51bn in FY2025/26, representing an increase of approximately 37%. Capex represented approximately 2.0% of revenue in FY2025/26 compared with 1.8% in FY2021/22. Higher investment can support future growth and operational capability, but also places demands on financial resources.</a:t>
          </a:r>
        </a:p>
        <a:p>
          <a:r>
            <a:rPr lang="en-GB" sz="1200" b="1"/>
            <a:t>4. Capital Structure</a:t>
          </a:r>
          <a:endParaRPr lang="en-GB" sz="1200"/>
        </a:p>
        <a:p>
          <a:r>
            <a:rPr lang="en-GB" sz="1200"/>
            <a:t>Borrowings-to-equity increased from 0.47x to 0.63x across the five years. This was driven partly by the decline in Tesco's reported equity base rather than a significant increase in absolute borrowings, highlighting the importance of considering both the numerator and denominator when assessing leverage.</a:t>
          </a:r>
        </a:p>
        <a:p>
          <a:endParaRPr lang="en-GB" sz="1100"/>
        </a:p>
      </xdr:txBody>
    </xdr:sp>
    <xdr:clientData/>
  </xdr:oneCellAnchor>
  <xdr:oneCellAnchor>
    <xdr:from>
      <xdr:col>0</xdr:col>
      <xdr:colOff>60960</xdr:colOff>
      <xdr:row>84</xdr:row>
      <xdr:rowOff>114299</xdr:rowOff>
    </xdr:from>
    <xdr:ext cx="4804954" cy="3162301"/>
    <xdr:sp macro="" textlink="">
      <xdr:nvSpPr>
        <xdr:cNvPr id="5" name="TextBox 4">
          <a:extLst>
            <a:ext uri="{FF2B5EF4-FFF2-40B4-BE49-F238E27FC236}">
              <a16:creationId xmlns:a16="http://schemas.microsoft.com/office/drawing/2014/main" id="{C6A220B5-D7BF-6CE3-1643-782B5B9CB8CC}"/>
            </a:ext>
          </a:extLst>
        </xdr:cNvPr>
        <xdr:cNvSpPr txBox="1"/>
      </xdr:nvSpPr>
      <xdr:spPr>
        <a:xfrm>
          <a:off x="60960" y="17411699"/>
          <a:ext cx="4804954" cy="31623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a:t>Tesco's five-year financial performance demonstrates resilience, with consistent revenue growth, a recovery in underlying profitability and positive free cash generation throughout the period. FY2022/23 represented the weakest year for profitability, while subsequent periods showed a meaningful recovery in adjusted operating performance.</a:t>
          </a:r>
        </a:p>
        <a:p>
          <a:r>
            <a:rPr lang="en-GB" sz="1200"/>
            <a:t>However, the analysis also identifies areas requiring continued monitoring. Headline liquidity ratios weakened, borrowings-to-equity increased and free cash flow conversion remained below the level achieved at the beginning of the period. At the same time, increasing capital expenditure indicates continued investment in the business.</a:t>
          </a:r>
        </a:p>
        <a:p>
          <a:r>
            <a:rPr lang="en-GB" sz="1200"/>
            <a:t>Overall, Tesco entered FY2025/26 with stronger revenue, adjusted operating profit and free cash flow than the preceding year. Future financial performance will depend not only on maintaining sales growth, but also on protecting margins, converting operating profit into cash and balancing investment requirements with financial discipline.</a:t>
          </a:r>
        </a:p>
        <a:p>
          <a:endParaRPr lang="en-GB"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B4332-6770-4A5E-9FF2-089F4A0DE4E2}">
  <dimension ref="A1:F37"/>
  <sheetViews>
    <sheetView showGridLines="0" topLeftCell="A12" zoomScale="72" workbookViewId="0">
      <selection activeCell="A47" sqref="A47"/>
    </sheetView>
  </sheetViews>
  <sheetFormatPr defaultRowHeight="14.4"/>
  <cols>
    <col min="1" max="1" width="40.88671875" customWidth="1"/>
    <col min="2" max="2" width="17.88671875" customWidth="1"/>
    <col min="3" max="3" width="13.6640625" customWidth="1"/>
    <col min="4" max="4" width="13.21875" customWidth="1"/>
    <col min="5" max="5" width="14.5546875" customWidth="1"/>
    <col min="6" max="6" width="13.5546875" customWidth="1"/>
  </cols>
  <sheetData>
    <row r="1" spans="1:6" ht="33.6">
      <c r="A1" s="2" t="s">
        <v>0</v>
      </c>
      <c r="B1" s="3"/>
      <c r="C1" s="3"/>
      <c r="D1" s="3"/>
      <c r="E1" s="3"/>
    </row>
    <row r="2" spans="1:6" ht="18">
      <c r="A2" s="1" t="s">
        <v>1</v>
      </c>
      <c r="B2" s="1"/>
      <c r="D2" s="1"/>
    </row>
    <row r="3" spans="1:6" ht="21">
      <c r="A3" s="8" t="s">
        <v>31</v>
      </c>
    </row>
    <row r="4" spans="1:6" s="1" customFormat="1" ht="18">
      <c r="A4" s="1" t="s">
        <v>2</v>
      </c>
      <c r="B4" s="43" t="s">
        <v>28</v>
      </c>
      <c r="C4" s="43" t="s">
        <v>6</v>
      </c>
      <c r="D4" s="43" t="s">
        <v>5</v>
      </c>
      <c r="E4" s="43" t="s">
        <v>4</v>
      </c>
      <c r="F4" s="43" t="s">
        <v>3</v>
      </c>
    </row>
    <row r="6" spans="1:6" ht="18">
      <c r="A6" s="1" t="s">
        <v>7</v>
      </c>
    </row>
    <row r="8" spans="1:6" s="5" customFormat="1">
      <c r="A8" s="5" t="s">
        <v>8</v>
      </c>
      <c r="B8" s="5">
        <v>61344</v>
      </c>
      <c r="C8" s="5">
        <v>65322</v>
      </c>
      <c r="D8" s="5">
        <v>68187</v>
      </c>
      <c r="E8" s="5">
        <v>69916</v>
      </c>
      <c r="F8" s="5">
        <v>73712</v>
      </c>
    </row>
    <row r="9" spans="1:6" s="5" customFormat="1">
      <c r="A9" s="5" t="s">
        <v>9</v>
      </c>
      <c r="B9" s="5">
        <v>2560</v>
      </c>
      <c r="C9" s="5">
        <v>1410</v>
      </c>
      <c r="D9" s="5">
        <v>2821</v>
      </c>
      <c r="E9" s="5">
        <v>2711</v>
      </c>
      <c r="F9" s="5">
        <v>2985</v>
      </c>
    </row>
    <row r="10" spans="1:6" s="5" customFormat="1">
      <c r="A10" s="5" t="s">
        <v>10</v>
      </c>
      <c r="B10" s="5">
        <v>2033</v>
      </c>
      <c r="C10" s="5">
        <v>882</v>
      </c>
      <c r="D10" s="5">
        <v>2289</v>
      </c>
      <c r="E10" s="5">
        <v>2215</v>
      </c>
      <c r="F10" s="5">
        <v>2403</v>
      </c>
    </row>
    <row r="11" spans="1:6" s="5" customFormat="1">
      <c r="A11" s="5" t="s">
        <v>11</v>
      </c>
      <c r="B11" s="5">
        <v>1523</v>
      </c>
      <c r="C11" s="5">
        <v>658</v>
      </c>
      <c r="D11" s="5">
        <v>1764</v>
      </c>
      <c r="E11" s="5">
        <v>1604</v>
      </c>
      <c r="F11" s="5">
        <v>1787</v>
      </c>
    </row>
    <row r="13" spans="1:6" ht="18">
      <c r="A13" s="1" t="s">
        <v>12</v>
      </c>
    </row>
    <row r="15" spans="1:6" s="6" customFormat="1">
      <c r="A15" s="6" t="s">
        <v>13</v>
      </c>
      <c r="B15" s="6">
        <v>49137</v>
      </c>
      <c r="C15" s="6">
        <v>45868</v>
      </c>
      <c r="D15" s="6">
        <v>47039</v>
      </c>
      <c r="E15" s="6">
        <v>38890</v>
      </c>
      <c r="F15" s="6">
        <v>39474</v>
      </c>
    </row>
    <row r="16" spans="1:6" s="6" customFormat="1">
      <c r="A16" s="6" t="s">
        <v>14</v>
      </c>
      <c r="B16" s="6">
        <v>11985</v>
      </c>
      <c r="C16" s="6">
        <v>12469</v>
      </c>
      <c r="D16" s="6">
        <v>16606</v>
      </c>
      <c r="E16" s="6">
        <v>8856</v>
      </c>
      <c r="F16" s="6">
        <v>8483</v>
      </c>
    </row>
    <row r="17" spans="1:6" s="6" customFormat="1">
      <c r="A17" s="6" t="s">
        <v>15</v>
      </c>
      <c r="B17" s="6">
        <v>2339</v>
      </c>
      <c r="C17" s="6">
        <v>2510</v>
      </c>
      <c r="D17" s="6">
        <v>2635</v>
      </c>
      <c r="E17" s="6">
        <v>2768</v>
      </c>
      <c r="F17" s="6">
        <v>2840</v>
      </c>
    </row>
    <row r="18" spans="1:6" s="6" customFormat="1">
      <c r="A18" s="6" t="s">
        <v>16</v>
      </c>
      <c r="B18" s="6">
        <v>2345</v>
      </c>
      <c r="C18" s="6">
        <v>2465</v>
      </c>
      <c r="D18" s="6">
        <v>2340</v>
      </c>
      <c r="E18" s="6">
        <v>2255</v>
      </c>
      <c r="F18" s="6">
        <v>2515</v>
      </c>
    </row>
    <row r="19" spans="1:6" s="6" customFormat="1">
      <c r="A19" s="6" t="s">
        <v>17</v>
      </c>
      <c r="B19" s="6">
        <v>33505</v>
      </c>
      <c r="C19" s="6">
        <v>33643</v>
      </c>
      <c r="D19" s="6">
        <v>35374</v>
      </c>
      <c r="E19" s="6">
        <v>27228</v>
      </c>
      <c r="F19" s="6">
        <v>28017</v>
      </c>
    </row>
    <row r="20" spans="1:6" s="6" customFormat="1">
      <c r="A20" s="6" t="s">
        <v>18</v>
      </c>
      <c r="B20" s="6">
        <v>15963</v>
      </c>
      <c r="C20" s="6">
        <v>17610</v>
      </c>
      <c r="D20" s="6">
        <v>20472</v>
      </c>
      <c r="E20" s="6">
        <v>13820</v>
      </c>
      <c r="F20" s="6">
        <v>14329</v>
      </c>
    </row>
    <row r="21" spans="1:6" s="6" customFormat="1">
      <c r="A21" s="6" t="s">
        <v>19</v>
      </c>
      <c r="B21" s="6">
        <v>15632</v>
      </c>
      <c r="C21" s="6">
        <v>12225</v>
      </c>
      <c r="D21" s="6">
        <v>11665</v>
      </c>
      <c r="E21" s="6">
        <v>11662</v>
      </c>
      <c r="F21" s="6">
        <v>11457</v>
      </c>
    </row>
    <row r="22" spans="1:6" s="6" customFormat="1">
      <c r="A22" s="6" t="s">
        <v>26</v>
      </c>
      <c r="B22" s="7">
        <v>7399</v>
      </c>
      <c r="C22" s="6">
        <v>7351</v>
      </c>
      <c r="D22" s="6">
        <v>7219</v>
      </c>
      <c r="E22" s="6">
        <v>6950</v>
      </c>
      <c r="F22" s="6">
        <v>7196</v>
      </c>
    </row>
    <row r="24" spans="1:6" ht="18">
      <c r="A24" s="1" t="s">
        <v>20</v>
      </c>
    </row>
    <row r="26" spans="1:6" s="6" customFormat="1">
      <c r="A26" s="6" t="s">
        <v>25</v>
      </c>
      <c r="B26" s="6">
        <v>3614</v>
      </c>
      <c r="C26" s="6">
        <v>3752</v>
      </c>
      <c r="D26" s="6">
        <v>3712</v>
      </c>
    </row>
    <row r="27" spans="1:6" s="6" customFormat="1">
      <c r="A27" s="6" t="s">
        <v>131</v>
      </c>
      <c r="B27" s="6">
        <v>1101</v>
      </c>
      <c r="C27" s="6">
        <v>1235</v>
      </c>
      <c r="D27" s="6">
        <v>1314</v>
      </c>
      <c r="E27" s="6">
        <v>1457</v>
      </c>
      <c r="F27" s="6">
        <v>1511</v>
      </c>
    </row>
    <row r="28" spans="1:6" s="6" customFormat="1">
      <c r="A28" s="6" t="s">
        <v>21</v>
      </c>
      <c r="B28" s="6">
        <v>2277</v>
      </c>
      <c r="C28" s="6">
        <v>2133</v>
      </c>
      <c r="D28" s="6">
        <v>2063</v>
      </c>
      <c r="E28" s="6">
        <v>1750</v>
      </c>
      <c r="F28" s="6">
        <v>1957</v>
      </c>
    </row>
    <row r="30" spans="1:6" ht="18">
      <c r="A30" s="1" t="s">
        <v>22</v>
      </c>
    </row>
    <row r="32" spans="1:6" s="6" customFormat="1">
      <c r="A32" s="6" t="s">
        <v>23</v>
      </c>
      <c r="B32" s="6">
        <v>2825</v>
      </c>
      <c r="C32" s="6">
        <v>2509</v>
      </c>
      <c r="D32" s="6">
        <v>2829</v>
      </c>
      <c r="E32" s="6">
        <v>3128</v>
      </c>
      <c r="F32" s="6">
        <v>3152</v>
      </c>
    </row>
    <row r="33" spans="1:6" s="4" customFormat="1">
      <c r="A33" s="4" t="s">
        <v>139</v>
      </c>
      <c r="B33" s="4">
        <v>19.64</v>
      </c>
      <c r="C33" s="4">
        <v>8.81</v>
      </c>
      <c r="D33" s="4">
        <v>24.53</v>
      </c>
      <c r="E33" s="4">
        <v>23.13</v>
      </c>
      <c r="F33" s="4">
        <v>27.1</v>
      </c>
    </row>
    <row r="34" spans="1:6" s="42" customFormat="1">
      <c r="A34" s="42" t="s">
        <v>24</v>
      </c>
      <c r="B34" s="42">
        <v>10.9</v>
      </c>
      <c r="C34" s="42">
        <v>10.9</v>
      </c>
      <c r="D34" s="42">
        <v>12.1</v>
      </c>
      <c r="E34" s="42">
        <v>13.7</v>
      </c>
      <c r="F34" s="42">
        <v>14.5</v>
      </c>
    </row>
    <row r="37" spans="1:6" ht="18">
      <c r="A37" s="1" t="s">
        <v>138</v>
      </c>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B40AB-4235-4A92-A6C8-0B3F85F74577}">
  <dimension ref="A1:M75"/>
  <sheetViews>
    <sheetView showGridLines="0" topLeftCell="A7" zoomScale="70" zoomScaleNormal="70" workbookViewId="0">
      <selection activeCell="A103" sqref="A103"/>
    </sheetView>
  </sheetViews>
  <sheetFormatPr defaultRowHeight="14.4"/>
  <cols>
    <col min="1" max="1" width="34.88671875" customWidth="1"/>
    <col min="2" max="2" width="12.77734375" customWidth="1"/>
    <col min="3" max="3" width="12.88671875" customWidth="1"/>
    <col min="4" max="4" width="13.5546875" customWidth="1"/>
    <col min="5" max="5" width="12.109375" customWidth="1"/>
    <col min="6" max="6" width="12.33203125" customWidth="1"/>
    <col min="8" max="13" width="10.6640625" customWidth="1"/>
  </cols>
  <sheetData>
    <row r="1" spans="1:13" ht="28.8">
      <c r="A1" s="11" t="s">
        <v>29</v>
      </c>
      <c r="B1" s="11"/>
      <c r="C1" s="11"/>
      <c r="D1" s="11"/>
    </row>
    <row r="2" spans="1:13" ht="21">
      <c r="A2" s="8" t="s">
        <v>30</v>
      </c>
      <c r="B2" s="8"/>
      <c r="C2" s="8"/>
      <c r="D2" s="8"/>
      <c r="E2" s="8"/>
    </row>
    <row r="3" spans="1:13" ht="21">
      <c r="A3" s="8" t="s">
        <v>31</v>
      </c>
    </row>
    <row r="5" spans="1:13" ht="21">
      <c r="A5" s="8" t="s">
        <v>32</v>
      </c>
      <c r="B5" s="43" t="s">
        <v>27</v>
      </c>
      <c r="C5" s="43" t="s">
        <v>6</v>
      </c>
      <c r="D5" s="43" t="s">
        <v>5</v>
      </c>
      <c r="E5" s="43" t="s">
        <v>4</v>
      </c>
      <c r="F5" s="43" t="s">
        <v>3</v>
      </c>
      <c r="H5" s="13"/>
      <c r="I5" s="14" t="s">
        <v>46</v>
      </c>
      <c r="J5" s="14" t="s">
        <v>47</v>
      </c>
      <c r="K5" s="14" t="s">
        <v>48</v>
      </c>
      <c r="L5" s="14" t="s">
        <v>49</v>
      </c>
      <c r="M5" s="14" t="s">
        <v>50</v>
      </c>
    </row>
    <row r="6" spans="1:13">
      <c r="H6" s="10" t="s">
        <v>8</v>
      </c>
      <c r="I6" s="15">
        <f xml:space="preserve"> '01_Raw_Data'!B8</f>
        <v>61344</v>
      </c>
      <c r="J6" s="15">
        <f xml:space="preserve"> '01_Raw_Data'!C8</f>
        <v>65322</v>
      </c>
      <c r="K6" s="15">
        <f xml:space="preserve"> '01_Raw_Data'!D8</f>
        <v>68187</v>
      </c>
      <c r="L6" s="15">
        <f xml:space="preserve"> '01_Raw_Data'!E8</f>
        <v>69916</v>
      </c>
      <c r="M6" s="15">
        <f xml:space="preserve"> '01_Raw_Data'!F8</f>
        <v>73712</v>
      </c>
    </row>
    <row r="7" spans="1:13" ht="43.2">
      <c r="A7" s="1" t="s">
        <v>33</v>
      </c>
      <c r="H7" s="10" t="s">
        <v>23</v>
      </c>
      <c r="I7" s="15">
        <f>'01_Raw_Data'!B32</f>
        <v>2825</v>
      </c>
      <c r="J7" s="15">
        <f>'01_Raw_Data'!C32</f>
        <v>2509</v>
      </c>
      <c r="K7" s="15">
        <f>'01_Raw_Data'!D32</f>
        <v>2829</v>
      </c>
      <c r="L7" s="15">
        <f>'01_Raw_Data'!E32</f>
        <v>3128</v>
      </c>
      <c r="M7" s="15">
        <f>'01_Raw_Data'!F32</f>
        <v>3152</v>
      </c>
    </row>
    <row r="9" spans="1:13">
      <c r="A9" t="s">
        <v>8</v>
      </c>
      <c r="B9" s="6">
        <f xml:space="preserve"> '01_Raw_Data'!B8</f>
        <v>61344</v>
      </c>
      <c r="C9" s="6">
        <f xml:space="preserve"> '01_Raw_Data'!C8</f>
        <v>65322</v>
      </c>
      <c r="D9" s="6">
        <f xml:space="preserve"> '01_Raw_Data'!D8</f>
        <v>68187</v>
      </c>
      <c r="E9" s="6">
        <f xml:space="preserve"> '01_Raw_Data'!E8</f>
        <v>69916</v>
      </c>
      <c r="F9" s="6">
        <f xml:space="preserve"> '01_Raw_Data'!F8</f>
        <v>73712</v>
      </c>
    </row>
    <row r="10" spans="1:13" s="12" customFormat="1">
      <c r="A10" s="12" t="s">
        <v>34</v>
      </c>
      <c r="C10" s="12">
        <f>(C9/B9)-1</f>
        <v>6.484741784037551E-2</v>
      </c>
      <c r="D10" s="12">
        <f t="shared" ref="D10:F10" si="0">(D9/C9)-1</f>
        <v>4.3859649122806932E-2</v>
      </c>
      <c r="E10" s="12">
        <f t="shared" si="0"/>
        <v>2.5356739554460495E-2</v>
      </c>
      <c r="F10" s="12">
        <f t="shared" si="0"/>
        <v>5.429372389724807E-2</v>
      </c>
    </row>
    <row r="12" spans="1:13">
      <c r="A12" t="s">
        <v>9</v>
      </c>
      <c r="B12" s="6">
        <f xml:space="preserve"> '01_Raw_Data'!B9</f>
        <v>2560</v>
      </c>
      <c r="C12" s="6">
        <f xml:space="preserve"> '01_Raw_Data'!C9</f>
        <v>1410</v>
      </c>
      <c r="D12" s="6">
        <f xml:space="preserve"> '01_Raw_Data'!D9</f>
        <v>2821</v>
      </c>
      <c r="E12" s="6">
        <f xml:space="preserve"> '01_Raw_Data'!E9</f>
        <v>2711</v>
      </c>
      <c r="F12" s="6">
        <f xml:space="preserve"> '01_Raw_Data'!F9</f>
        <v>2985</v>
      </c>
    </row>
    <row r="13" spans="1:13" s="12" customFormat="1">
      <c r="A13" s="12" t="s">
        <v>35</v>
      </c>
      <c r="C13" s="12">
        <f>(C12/B12)-1</f>
        <v>-0.44921875</v>
      </c>
      <c r="D13" s="12">
        <f t="shared" ref="D13:F13" si="1">(D12/C12)-1</f>
        <v>1.0007092198581562</v>
      </c>
      <c r="E13" s="12">
        <f t="shared" si="1"/>
        <v>-3.8993264799716432E-2</v>
      </c>
      <c r="F13" s="12">
        <f t="shared" si="1"/>
        <v>0.10106971597196601</v>
      </c>
    </row>
    <row r="15" spans="1:13">
      <c r="A15" t="s">
        <v>23</v>
      </c>
      <c r="B15" s="6">
        <f>'01_Raw_Data'!B32</f>
        <v>2825</v>
      </c>
      <c r="C15" s="6">
        <f>'01_Raw_Data'!C32</f>
        <v>2509</v>
      </c>
      <c r="D15" s="6">
        <f>'01_Raw_Data'!D32</f>
        <v>2829</v>
      </c>
      <c r="E15" s="6">
        <f>'01_Raw_Data'!E32</f>
        <v>3128</v>
      </c>
      <c r="F15" s="6">
        <f>'01_Raw_Data'!F32</f>
        <v>3152</v>
      </c>
    </row>
    <row r="16" spans="1:13" s="12" customFormat="1">
      <c r="A16" s="12" t="s">
        <v>36</v>
      </c>
      <c r="C16" s="12">
        <f>(C15/B15)-1</f>
        <v>-0.11185840707964601</v>
      </c>
      <c r="D16" s="12">
        <f t="shared" ref="D16:F16" si="2">(D15/C15)-1</f>
        <v>0.12754085292945394</v>
      </c>
      <c r="E16" s="12">
        <f t="shared" si="2"/>
        <v>0.10569105691056913</v>
      </c>
      <c r="F16" s="12">
        <f t="shared" si="2"/>
        <v>7.6726342710997653E-3</v>
      </c>
    </row>
    <row r="18" spans="1:13">
      <c r="A18" t="s">
        <v>10</v>
      </c>
      <c r="B18" s="6">
        <f>'01_Raw_Data'!B10</f>
        <v>2033</v>
      </c>
      <c r="C18" s="6">
        <f>'01_Raw_Data'!C10</f>
        <v>882</v>
      </c>
      <c r="D18" s="6">
        <f>'01_Raw_Data'!D10</f>
        <v>2289</v>
      </c>
      <c r="E18" s="6">
        <f>'01_Raw_Data'!E10</f>
        <v>2215</v>
      </c>
      <c r="F18" s="6">
        <f>'01_Raw_Data'!F10</f>
        <v>2403</v>
      </c>
    </row>
    <row r="19" spans="1:13">
      <c r="A19" t="s">
        <v>11</v>
      </c>
      <c r="B19" s="6">
        <f>'01_Raw_Data'!B11</f>
        <v>1523</v>
      </c>
      <c r="C19" s="6">
        <f>'01_Raw_Data'!C11</f>
        <v>658</v>
      </c>
      <c r="D19" s="6">
        <f>'01_Raw_Data'!D11</f>
        <v>1764</v>
      </c>
      <c r="E19" s="6">
        <f>'01_Raw_Data'!E11</f>
        <v>1604</v>
      </c>
      <c r="F19" s="6">
        <f>'01_Raw_Data'!F11</f>
        <v>1787</v>
      </c>
    </row>
    <row r="21" spans="1:13" ht="18">
      <c r="A21" s="1" t="s">
        <v>37</v>
      </c>
    </row>
    <row r="23" spans="1:13" s="12" customFormat="1">
      <c r="A23" s="12" t="s">
        <v>38</v>
      </c>
      <c r="B23" s="12">
        <f>B12/B9</f>
        <v>4.1731872717788214E-2</v>
      </c>
      <c r="C23" s="12">
        <f t="shared" ref="C23:F23" si="3">C12/C9</f>
        <v>2.1585377055203452E-2</v>
      </c>
      <c r="D23" s="12">
        <f t="shared" si="3"/>
        <v>4.1371522430961913E-2</v>
      </c>
      <c r="E23" s="12">
        <f t="shared" si="3"/>
        <v>3.8775101550431949E-2</v>
      </c>
      <c r="F23" s="12">
        <f t="shared" si="3"/>
        <v>4.0495441719123074E-2</v>
      </c>
    </row>
    <row r="24" spans="1:13" s="12" customFormat="1">
      <c r="A24" s="12" t="s">
        <v>39</v>
      </c>
      <c r="B24" s="12">
        <f>B15/B9</f>
        <v>4.6051773604590507E-2</v>
      </c>
      <c r="C24" s="12">
        <f t="shared" ref="C24:F24" si="4">C15/C9</f>
        <v>3.840972413581948E-2</v>
      </c>
      <c r="D24" s="12">
        <f t="shared" si="4"/>
        <v>4.1488846847639579E-2</v>
      </c>
      <c r="E24" s="12">
        <f t="shared" si="4"/>
        <v>4.4739401567595399E-2</v>
      </c>
      <c r="F24" s="12">
        <f t="shared" si="4"/>
        <v>4.2761015845452575E-2</v>
      </c>
    </row>
    <row r="25" spans="1:13" s="12" customFormat="1">
      <c r="A25" s="12" t="s">
        <v>40</v>
      </c>
      <c r="B25" s="12">
        <f xml:space="preserve"> B19/B9</f>
        <v>2.4827203964527908E-2</v>
      </c>
      <c r="C25" s="12">
        <f t="shared" ref="C25:F25" si="5" xml:space="preserve"> C19/C9</f>
        <v>1.0073175959094944E-2</v>
      </c>
      <c r="D25" s="12">
        <f t="shared" si="5"/>
        <v>2.5870033877425317E-2</v>
      </c>
      <c r="E25" s="12">
        <f t="shared" si="5"/>
        <v>2.2941815893357743E-2</v>
      </c>
      <c r="F25" s="12">
        <f t="shared" si="5"/>
        <v>2.4242999782939006E-2</v>
      </c>
    </row>
    <row r="27" spans="1:13" ht="18">
      <c r="A27" s="1" t="s">
        <v>41</v>
      </c>
    </row>
    <row r="29" spans="1:13" s="12" customFormat="1">
      <c r="A29" s="12" t="s">
        <v>42</v>
      </c>
      <c r="B29" s="12">
        <f>(F9/B9)^(1/4)-1</f>
        <v>4.6987570554837044E-2</v>
      </c>
    </row>
    <row r="30" spans="1:13" s="12" customFormat="1">
      <c r="A30" s="12" t="s">
        <v>43</v>
      </c>
      <c r="B30" s="12">
        <f>(F12/B12)^(1/4)-1</f>
        <v>3.9144857057083815E-2</v>
      </c>
      <c r="H30" s="13"/>
      <c r="I30" s="14" t="s">
        <v>46</v>
      </c>
      <c r="J30" s="14" t="s">
        <v>47</v>
      </c>
      <c r="K30" s="14" t="s">
        <v>48</v>
      </c>
      <c r="L30" s="14" t="s">
        <v>49</v>
      </c>
      <c r="M30" s="14" t="s">
        <v>50</v>
      </c>
    </row>
    <row r="31" spans="1:13" s="12" customFormat="1" ht="28.8">
      <c r="A31" s="12" t="s">
        <v>44</v>
      </c>
      <c r="B31" s="12">
        <f>(F15/B15)^(1/4)-1</f>
        <v>2.7760539685232288E-2</v>
      </c>
      <c r="H31" s="10" t="s">
        <v>51</v>
      </c>
      <c r="I31" s="17">
        <f xml:space="preserve"> B23</f>
        <v>4.1731872717788214E-2</v>
      </c>
      <c r="J31" s="17">
        <f t="shared" ref="J31:M31" si="6" xml:space="preserve"> C23</f>
        <v>2.1585377055203452E-2</v>
      </c>
      <c r="K31" s="17">
        <f t="shared" si="6"/>
        <v>4.1371522430961913E-2</v>
      </c>
      <c r="L31" s="17">
        <f t="shared" si="6"/>
        <v>3.8775101550431949E-2</v>
      </c>
      <c r="M31" s="17">
        <f t="shared" si="6"/>
        <v>4.0495441719123074E-2</v>
      </c>
    </row>
    <row r="32" spans="1:13" s="12" customFormat="1" ht="43.2">
      <c r="A32" s="12" t="s">
        <v>45</v>
      </c>
      <c r="B32" s="12">
        <f>(F19/B19)^(1/4)-1</f>
        <v>4.077334789903464E-2</v>
      </c>
      <c r="H32" s="10" t="s">
        <v>52</v>
      </c>
      <c r="I32" s="17">
        <f>B24</f>
        <v>4.6051773604590507E-2</v>
      </c>
      <c r="J32" s="17">
        <f t="shared" ref="J32:M32" si="7">C24</f>
        <v>3.840972413581948E-2</v>
      </c>
      <c r="K32" s="17">
        <f t="shared" si="7"/>
        <v>4.1488846847639579E-2</v>
      </c>
      <c r="L32" s="17">
        <f t="shared" si="7"/>
        <v>4.4739401567595399E-2</v>
      </c>
      <c r="M32" s="17">
        <f t="shared" si="7"/>
        <v>4.2761015845452575E-2</v>
      </c>
    </row>
    <row r="33" spans="8:13" ht="28.8">
      <c r="H33" s="10" t="s">
        <v>53</v>
      </c>
      <c r="I33" s="17">
        <f>B25</f>
        <v>2.4827203964527908E-2</v>
      </c>
      <c r="J33" s="17">
        <f t="shared" ref="J33:M33" si="8">C25</f>
        <v>1.0073175959094944E-2</v>
      </c>
      <c r="K33" s="17">
        <f t="shared" si="8"/>
        <v>2.5870033877425317E-2</v>
      </c>
      <c r="L33" s="17">
        <f t="shared" si="8"/>
        <v>2.2941815893357743E-2</v>
      </c>
      <c r="M33" s="17">
        <f t="shared" si="8"/>
        <v>2.4242999782939006E-2</v>
      </c>
    </row>
    <row r="54" spans="8:12">
      <c r="H54" s="13"/>
      <c r="I54" s="14" t="s">
        <v>47</v>
      </c>
      <c r="J54" s="14" t="s">
        <v>48</v>
      </c>
      <c r="K54" s="14" t="s">
        <v>49</v>
      </c>
      <c r="L54" s="14" t="s">
        <v>50</v>
      </c>
    </row>
    <row r="55" spans="8:12" ht="28.8">
      <c r="H55" s="10" t="s">
        <v>54</v>
      </c>
      <c r="I55" s="17">
        <f>C10</f>
        <v>6.484741784037551E-2</v>
      </c>
      <c r="J55" s="17">
        <f t="shared" ref="J55:L55" si="9">D10</f>
        <v>4.3859649122806932E-2</v>
      </c>
      <c r="K55" s="17">
        <f t="shared" si="9"/>
        <v>2.5356739554460495E-2</v>
      </c>
      <c r="L55" s="17">
        <f t="shared" si="9"/>
        <v>5.429372389724807E-2</v>
      </c>
    </row>
    <row r="56" spans="8:12" ht="57.6">
      <c r="H56" s="10" t="s">
        <v>55</v>
      </c>
      <c r="I56" s="17">
        <f>C16</f>
        <v>-0.11185840707964601</v>
      </c>
      <c r="J56" s="17">
        <f t="shared" ref="J56:L56" si="10">D16</f>
        <v>0.12754085292945394</v>
      </c>
      <c r="K56" s="17">
        <f t="shared" si="10"/>
        <v>0.10569105691056913</v>
      </c>
      <c r="L56" s="17">
        <f t="shared" si="10"/>
        <v>7.6726342710997653E-3</v>
      </c>
    </row>
    <row r="75" spans="2:4" ht="25.8">
      <c r="B75" s="18" t="s">
        <v>56</v>
      </c>
      <c r="C75" s="18"/>
      <c r="D75" s="18"/>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EB8F0-CBCE-4909-8DD8-EEAEB21456E1}">
  <dimension ref="A1:N56"/>
  <sheetViews>
    <sheetView showGridLines="0" topLeftCell="A47" zoomScale="72" workbookViewId="0">
      <selection activeCell="F80" sqref="F80"/>
    </sheetView>
  </sheetViews>
  <sheetFormatPr defaultRowHeight="14.4"/>
  <cols>
    <col min="1" max="1" width="38.6640625" customWidth="1"/>
    <col min="2" max="2" width="10.109375" customWidth="1"/>
    <col min="3" max="4" width="10.33203125" customWidth="1"/>
    <col min="5" max="5" width="12.33203125" customWidth="1"/>
    <col min="6" max="6" width="11" customWidth="1"/>
  </cols>
  <sheetData>
    <row r="1" spans="1:14" ht="28.8">
      <c r="A1" s="11" t="s">
        <v>58</v>
      </c>
      <c r="B1" s="11"/>
      <c r="C1" s="11"/>
      <c r="D1" s="11"/>
    </row>
    <row r="2" spans="1:14" ht="21">
      <c r="A2" s="8" t="s">
        <v>59</v>
      </c>
      <c r="B2" s="8"/>
      <c r="C2" s="8"/>
      <c r="D2" s="8"/>
      <c r="E2" s="8"/>
      <c r="F2" s="8"/>
    </row>
    <row r="3" spans="1:14" ht="18">
      <c r="A3" s="1" t="s">
        <v>31</v>
      </c>
      <c r="B3" s="1"/>
      <c r="C3" s="1"/>
    </row>
    <row r="5" spans="1:14" s="1" customFormat="1" ht="18">
      <c r="A5" s="1" t="s">
        <v>71</v>
      </c>
      <c r="B5" s="43" t="s">
        <v>46</v>
      </c>
      <c r="C5" s="43" t="s">
        <v>47</v>
      </c>
      <c r="D5" s="43" t="s">
        <v>48</v>
      </c>
      <c r="E5" s="43" t="s">
        <v>49</v>
      </c>
      <c r="F5" s="43" t="s">
        <v>50</v>
      </c>
    </row>
    <row r="7" spans="1:14" s="1" customFormat="1" ht="18">
      <c r="A7" s="1" t="s">
        <v>60</v>
      </c>
    </row>
    <row r="8" spans="1:14">
      <c r="A8" t="s">
        <v>13</v>
      </c>
      <c r="B8" s="6">
        <f>'01_Raw_Data'!B15</f>
        <v>49137</v>
      </c>
      <c r="C8" s="6">
        <f>'01_Raw_Data'!C15</f>
        <v>45868</v>
      </c>
      <c r="D8" s="6">
        <f>'01_Raw_Data'!D15</f>
        <v>47039</v>
      </c>
      <c r="E8" s="6">
        <f>'01_Raw_Data'!E15</f>
        <v>38890</v>
      </c>
      <c r="F8" s="6">
        <f>'01_Raw_Data'!F15</f>
        <v>39474</v>
      </c>
      <c r="I8" s="13"/>
      <c r="J8" s="14" t="s">
        <v>46</v>
      </c>
      <c r="K8" s="14" t="s">
        <v>47</v>
      </c>
      <c r="L8" s="14" t="s">
        <v>48</v>
      </c>
      <c r="M8" s="14" t="s">
        <v>49</v>
      </c>
      <c r="N8" s="14" t="s">
        <v>50</v>
      </c>
    </row>
    <row r="9" spans="1:14" s="12" customFormat="1" ht="28.8">
      <c r="A9" s="12" t="s">
        <v>61</v>
      </c>
      <c r="C9" s="12">
        <f>(C8/B8)-1</f>
        <v>-6.652827807965489E-2</v>
      </c>
      <c r="D9" s="12">
        <f t="shared" ref="D9:F9" si="0">(D8/C8)-1</f>
        <v>2.5529781111014227E-2</v>
      </c>
      <c r="E9" s="12">
        <f t="shared" si="0"/>
        <v>-0.17323922702438399</v>
      </c>
      <c r="F9" s="12">
        <f t="shared" si="0"/>
        <v>1.5016713808176929E-2</v>
      </c>
      <c r="I9" s="10" t="s">
        <v>64</v>
      </c>
      <c r="J9" s="20">
        <f>B26</f>
        <v>0.75079872204472842</v>
      </c>
      <c r="K9" s="20">
        <f t="shared" ref="K9:N9" si="1">C26</f>
        <v>0.70806360022714365</v>
      </c>
      <c r="L9" s="20">
        <f t="shared" si="1"/>
        <v>0.81115670183665489</v>
      </c>
      <c r="M9" s="20">
        <f t="shared" si="1"/>
        <v>0.64081041968162089</v>
      </c>
      <c r="N9" s="20">
        <f t="shared" si="1"/>
        <v>0.59201619094144742</v>
      </c>
    </row>
    <row r="10" spans="1:14" ht="28.8">
      <c r="I10" s="10" t="s">
        <v>65</v>
      </c>
      <c r="J10" s="20">
        <f>B27</f>
        <v>0.60427237987846893</v>
      </c>
      <c r="K10" s="20">
        <f t="shared" ref="K10:N10" si="2">C27</f>
        <v>0.56553094832481543</v>
      </c>
      <c r="L10" s="20">
        <f t="shared" si="2"/>
        <v>0.68244431418522855</v>
      </c>
      <c r="M10" s="20">
        <f t="shared" si="2"/>
        <v>0.44052098408104196</v>
      </c>
      <c r="N10" s="20">
        <f t="shared" si="2"/>
        <v>0.39381673529206507</v>
      </c>
    </row>
    <row r="11" spans="1:14" ht="28.8">
      <c r="A11" t="s">
        <v>14</v>
      </c>
      <c r="B11" s="6">
        <f>'01_Raw_Data'!B16</f>
        <v>11985</v>
      </c>
      <c r="C11" s="6">
        <f>'01_Raw_Data'!C16</f>
        <v>12469</v>
      </c>
      <c r="D11" s="6">
        <f>'01_Raw_Data'!D16</f>
        <v>16606</v>
      </c>
      <c r="E11" s="6">
        <f>'01_Raw_Data'!E16</f>
        <v>8856</v>
      </c>
      <c r="F11" s="6">
        <f>'01_Raw_Data'!F16</f>
        <v>8483</v>
      </c>
      <c r="I11" s="10" t="s">
        <v>66</v>
      </c>
      <c r="J11" s="20">
        <f>B28</f>
        <v>0.14690221136377873</v>
      </c>
      <c r="K11" s="20">
        <f t="shared" ref="K11:N11" si="3">C28</f>
        <v>0.13997728563316297</v>
      </c>
      <c r="L11" s="20">
        <f t="shared" si="3"/>
        <v>0.11430246189917936</v>
      </c>
      <c r="M11" s="20">
        <f t="shared" si="3"/>
        <v>0.16316931982633864</v>
      </c>
      <c r="N11" s="20">
        <f t="shared" si="3"/>
        <v>0.17551817991485799</v>
      </c>
    </row>
    <row r="12" spans="1:14">
      <c r="A12" t="s">
        <v>15</v>
      </c>
      <c r="B12" s="6">
        <f>'01_Raw_Data'!B17</f>
        <v>2339</v>
      </c>
      <c r="C12" s="6">
        <f>'01_Raw_Data'!C17</f>
        <v>2510</v>
      </c>
      <c r="D12" s="6">
        <f>'01_Raw_Data'!D17</f>
        <v>2635</v>
      </c>
      <c r="E12" s="6">
        <f>'01_Raw_Data'!E17</f>
        <v>2768</v>
      </c>
      <c r="F12" s="6">
        <f>'01_Raw_Data'!F17</f>
        <v>2840</v>
      </c>
    </row>
    <row r="13" spans="1:14">
      <c r="A13" t="s">
        <v>16</v>
      </c>
      <c r="B13" s="6">
        <f>'01_Raw_Data'!B18</f>
        <v>2345</v>
      </c>
      <c r="C13" s="6">
        <f>'01_Raw_Data'!C18</f>
        <v>2465</v>
      </c>
      <c r="D13" s="6">
        <f>'01_Raw_Data'!D18</f>
        <v>2340</v>
      </c>
      <c r="E13" s="6">
        <f>'01_Raw_Data'!E18</f>
        <v>2255</v>
      </c>
      <c r="F13" s="6">
        <f>'01_Raw_Data'!F18</f>
        <v>2515</v>
      </c>
    </row>
    <row r="15" spans="1:14">
      <c r="A15" t="s">
        <v>17</v>
      </c>
      <c r="B15" s="6">
        <f>'01_Raw_Data'!B19</f>
        <v>33505</v>
      </c>
      <c r="C15" s="6">
        <f>'01_Raw_Data'!C19</f>
        <v>33643</v>
      </c>
      <c r="D15" s="6">
        <f>'01_Raw_Data'!D19</f>
        <v>35374</v>
      </c>
      <c r="E15" s="6">
        <f>'01_Raw_Data'!E19</f>
        <v>27228</v>
      </c>
      <c r="F15" s="6">
        <f>'01_Raw_Data'!F19</f>
        <v>28017</v>
      </c>
    </row>
    <row r="16" spans="1:14">
      <c r="A16" t="s">
        <v>18</v>
      </c>
      <c r="B16" s="6">
        <f>'01_Raw_Data'!B20</f>
        <v>15963</v>
      </c>
      <c r="C16" s="6">
        <f>'01_Raw_Data'!C20</f>
        <v>17610</v>
      </c>
      <c r="D16" s="6">
        <f>'01_Raw_Data'!D20</f>
        <v>20472</v>
      </c>
      <c r="E16" s="6">
        <f>'01_Raw_Data'!E20</f>
        <v>13820</v>
      </c>
      <c r="F16" s="6">
        <f>'01_Raw_Data'!F20</f>
        <v>14329</v>
      </c>
    </row>
    <row r="18" spans="1:14">
      <c r="A18" t="s">
        <v>19</v>
      </c>
      <c r="B18" s="6">
        <f>'01_Raw_Data'!B21</f>
        <v>15632</v>
      </c>
      <c r="C18" s="6">
        <f>'01_Raw_Data'!C21</f>
        <v>12225</v>
      </c>
      <c r="D18" s="6">
        <f>'01_Raw_Data'!D21</f>
        <v>11665</v>
      </c>
      <c r="E18" s="6">
        <f>'01_Raw_Data'!E21</f>
        <v>11662</v>
      </c>
      <c r="F18" s="6">
        <f>'01_Raw_Data'!F21</f>
        <v>11457</v>
      </c>
    </row>
    <row r="20" spans="1:14">
      <c r="A20" t="s">
        <v>26</v>
      </c>
      <c r="B20" s="6">
        <f>'01_Raw_Data'!B22</f>
        <v>7399</v>
      </c>
      <c r="C20" s="6">
        <f>'01_Raw_Data'!C22</f>
        <v>7351</v>
      </c>
      <c r="D20" s="6">
        <f>'01_Raw_Data'!D22</f>
        <v>7219</v>
      </c>
      <c r="E20" s="6">
        <f>'01_Raw_Data'!E22</f>
        <v>6950</v>
      </c>
      <c r="F20" s="6">
        <f>'01_Raw_Data'!F22</f>
        <v>7196</v>
      </c>
    </row>
    <row r="21" spans="1:14" s="12" customFormat="1">
      <c r="A21" s="12" t="s">
        <v>62</v>
      </c>
      <c r="C21" s="12">
        <f>(C20/B20)-1</f>
        <v>-6.4873631571834567E-3</v>
      </c>
      <c r="D21" s="12">
        <f t="shared" ref="D21:F21" si="4">(D20/C20)-1</f>
        <v>-1.795674057951302E-2</v>
      </c>
      <c r="E21" s="12">
        <f t="shared" si="4"/>
        <v>-3.7262778778224148E-2</v>
      </c>
      <c r="F21" s="12">
        <f t="shared" si="4"/>
        <v>3.5395683453237403E-2</v>
      </c>
    </row>
    <row r="24" spans="1:14" ht="18">
      <c r="A24" s="1" t="s">
        <v>63</v>
      </c>
    </row>
    <row r="26" spans="1:14" s="4" customFormat="1">
      <c r="A26" s="4" t="s">
        <v>64</v>
      </c>
      <c r="B26" s="4">
        <f>B11/B16</f>
        <v>0.75079872204472842</v>
      </c>
      <c r="C26" s="4">
        <f t="shared" ref="C26:F26" si="5">C11/C16</f>
        <v>0.70806360022714365</v>
      </c>
      <c r="D26" s="4">
        <f t="shared" si="5"/>
        <v>0.81115670183665489</v>
      </c>
      <c r="E26" s="4">
        <f t="shared" si="5"/>
        <v>0.64081041968162089</v>
      </c>
      <c r="F26" s="4">
        <f t="shared" si="5"/>
        <v>0.59201619094144742</v>
      </c>
    </row>
    <row r="27" spans="1:14" s="4" customFormat="1">
      <c r="A27" s="4" t="s">
        <v>65</v>
      </c>
      <c r="B27" s="4">
        <f>(B11-B12)/B16</f>
        <v>0.60427237987846893</v>
      </c>
      <c r="C27" s="4">
        <f t="shared" ref="C27:F27" si="6">(C11-C12)/C16</f>
        <v>0.56553094832481543</v>
      </c>
      <c r="D27" s="4">
        <f t="shared" si="6"/>
        <v>0.68244431418522855</v>
      </c>
      <c r="E27" s="4">
        <f t="shared" si="6"/>
        <v>0.44052098408104196</v>
      </c>
      <c r="F27" s="4">
        <f t="shared" si="6"/>
        <v>0.39381673529206507</v>
      </c>
    </row>
    <row r="28" spans="1:14" s="4" customFormat="1">
      <c r="A28" s="4" t="s">
        <v>66</v>
      </c>
      <c r="B28" s="4">
        <f>B13/B16</f>
        <v>0.14690221136377873</v>
      </c>
      <c r="C28" s="4">
        <f t="shared" ref="C28:F28" si="7">C13/C16</f>
        <v>0.13997728563316297</v>
      </c>
      <c r="D28" s="4">
        <f t="shared" si="7"/>
        <v>0.11430246189917936</v>
      </c>
      <c r="E28" s="4">
        <f t="shared" si="7"/>
        <v>0.16316931982633864</v>
      </c>
      <c r="F28" s="4">
        <f t="shared" si="7"/>
        <v>0.17551817991485799</v>
      </c>
    </row>
    <row r="30" spans="1:14" ht="18">
      <c r="A30" s="1" t="s">
        <v>67</v>
      </c>
    </row>
    <row r="32" spans="1:14" s="4" customFormat="1">
      <c r="A32" s="4" t="s">
        <v>68</v>
      </c>
      <c r="B32" s="4">
        <f>B20/B18</f>
        <v>0.47332395087001022</v>
      </c>
      <c r="C32" s="4">
        <f t="shared" ref="C32:F32" si="8">C20/C18</f>
        <v>0.60130879345603272</v>
      </c>
      <c r="D32" s="4">
        <f t="shared" si="8"/>
        <v>0.61885983711958847</v>
      </c>
      <c r="E32" s="4">
        <f t="shared" si="8"/>
        <v>0.59595266678099812</v>
      </c>
      <c r="F32" s="4">
        <f t="shared" si="8"/>
        <v>0.62808763201536177</v>
      </c>
      <c r="I32" s="13"/>
      <c r="J32" s="14" t="s">
        <v>46</v>
      </c>
      <c r="K32" s="14" t="s">
        <v>47</v>
      </c>
      <c r="L32" s="14" t="s">
        <v>48</v>
      </c>
      <c r="M32" s="14" t="s">
        <v>49</v>
      </c>
      <c r="N32" s="14" t="s">
        <v>50</v>
      </c>
    </row>
    <row r="33" spans="1:14" s="12" customFormat="1" ht="28.8">
      <c r="A33" s="12" t="s">
        <v>69</v>
      </c>
      <c r="B33" s="12">
        <f>B15/B8</f>
        <v>0.68186905997517144</v>
      </c>
      <c r="C33" s="12">
        <f t="shared" ref="C33:F33" si="9">C15/C8</f>
        <v>0.73347431760704629</v>
      </c>
      <c r="D33" s="12">
        <f t="shared" si="9"/>
        <v>0.75201428601798503</v>
      </c>
      <c r="E33" s="12">
        <f t="shared" si="9"/>
        <v>0.70012856775520704</v>
      </c>
      <c r="F33" s="12">
        <f t="shared" si="9"/>
        <v>0.70975832193342459</v>
      </c>
      <c r="I33" s="10" t="s">
        <v>72</v>
      </c>
      <c r="J33" s="21">
        <f>B33</f>
        <v>0.68186905997517144</v>
      </c>
      <c r="K33" s="21">
        <f t="shared" ref="K33:N34" si="10">C33</f>
        <v>0.73347431760704629</v>
      </c>
      <c r="L33" s="21">
        <f t="shared" si="10"/>
        <v>0.75201428601798503</v>
      </c>
      <c r="M33" s="21">
        <f t="shared" si="10"/>
        <v>0.70012856775520704</v>
      </c>
      <c r="N33" s="21">
        <f t="shared" si="10"/>
        <v>0.70975832193342459</v>
      </c>
    </row>
    <row r="34" spans="1:14" s="12" customFormat="1" ht="28.8">
      <c r="A34" s="12" t="s">
        <v>70</v>
      </c>
      <c r="B34" s="12">
        <f>B18/B8</f>
        <v>0.31813094002482856</v>
      </c>
      <c r="C34" s="12">
        <f>C18/C8</f>
        <v>0.26652568239295371</v>
      </c>
      <c r="D34" s="12">
        <f t="shared" ref="D34:F34" si="11">D18/D8</f>
        <v>0.24798571398201491</v>
      </c>
      <c r="E34" s="12">
        <f t="shared" si="11"/>
        <v>0.29987143224479301</v>
      </c>
      <c r="F34" s="12">
        <f t="shared" si="11"/>
        <v>0.29024167806657547</v>
      </c>
      <c r="I34" s="10" t="s">
        <v>73</v>
      </c>
      <c r="J34" s="21">
        <f>B34</f>
        <v>0.31813094002482856</v>
      </c>
      <c r="K34" s="21">
        <f t="shared" si="10"/>
        <v>0.26652568239295371</v>
      </c>
      <c r="L34" s="21">
        <f t="shared" si="10"/>
        <v>0.24798571398201491</v>
      </c>
      <c r="M34" s="21">
        <f t="shared" si="10"/>
        <v>0.29987143224479301</v>
      </c>
      <c r="N34" s="21">
        <f t="shared" si="10"/>
        <v>0.29024167806657547</v>
      </c>
    </row>
    <row r="54" spans="1:1" ht="33.6">
      <c r="A54" s="2" t="s">
        <v>74</v>
      </c>
    </row>
    <row r="56" spans="1:1" ht="15.6">
      <c r="A56" s="19"/>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0A266-A7B9-4C2F-9FA7-C8AC0924EA45}">
  <dimension ref="A1:M32"/>
  <sheetViews>
    <sheetView showGridLines="0" topLeftCell="A31" workbookViewId="0">
      <selection activeCell="A51" sqref="A51"/>
    </sheetView>
  </sheetViews>
  <sheetFormatPr defaultRowHeight="14.4"/>
  <cols>
    <col min="1" max="1" width="37" customWidth="1"/>
    <col min="2" max="2" width="11.44140625" customWidth="1"/>
    <col min="3" max="3" width="11.21875" customWidth="1"/>
    <col min="4" max="4" width="10.88671875" customWidth="1"/>
    <col min="5" max="5" width="10.44140625" customWidth="1"/>
    <col min="6" max="6" width="13.88671875" customWidth="1"/>
    <col min="9" max="9" width="12.88671875" customWidth="1"/>
    <col min="10" max="10" width="11.21875" customWidth="1"/>
    <col min="11" max="11" width="11.6640625" customWidth="1"/>
    <col min="12" max="12" width="10.33203125" customWidth="1"/>
    <col min="13" max="13" width="9.88671875" customWidth="1"/>
  </cols>
  <sheetData>
    <row r="1" spans="1:13" ht="31.2">
      <c r="A1" s="22" t="s">
        <v>75</v>
      </c>
    </row>
    <row r="2" spans="1:13" ht="23.4">
      <c r="A2" s="9" t="s">
        <v>76</v>
      </c>
    </row>
    <row r="3" spans="1:13" ht="18">
      <c r="A3" s="1" t="s">
        <v>31</v>
      </c>
    </row>
    <row r="5" spans="1:13" s="1" customFormat="1" ht="19.8" customHeight="1">
      <c r="A5" s="1" t="s">
        <v>77</v>
      </c>
      <c r="B5" s="43" t="s">
        <v>46</v>
      </c>
      <c r="C5" s="43" t="s">
        <v>47</v>
      </c>
      <c r="D5" s="43" t="s">
        <v>48</v>
      </c>
      <c r="E5" s="43" t="s">
        <v>49</v>
      </c>
      <c r="F5" s="43" t="s">
        <v>50</v>
      </c>
      <c r="H5" s="44"/>
      <c r="I5" s="45" t="s">
        <v>46</v>
      </c>
      <c r="J5" s="45" t="s">
        <v>47</v>
      </c>
      <c r="K5" s="45" t="s">
        <v>48</v>
      </c>
      <c r="L5" s="45" t="s">
        <v>49</v>
      </c>
      <c r="M5" s="45" t="s">
        <v>50</v>
      </c>
    </row>
    <row r="6" spans="1:13" ht="57.6">
      <c r="H6" s="10" t="s">
        <v>84</v>
      </c>
      <c r="I6" s="15">
        <f>B9</f>
        <v>2277</v>
      </c>
      <c r="J6" s="15">
        <f t="shared" ref="J6:M6" si="0">C9</f>
        <v>2133</v>
      </c>
      <c r="K6" s="15">
        <f t="shared" si="0"/>
        <v>2063</v>
      </c>
      <c r="L6" s="15">
        <f t="shared" si="0"/>
        <v>1750</v>
      </c>
      <c r="M6" s="15">
        <f t="shared" si="0"/>
        <v>1957</v>
      </c>
    </row>
    <row r="7" spans="1:13" ht="18">
      <c r="A7" s="1" t="s">
        <v>78</v>
      </c>
      <c r="H7" s="10" t="s">
        <v>131</v>
      </c>
      <c r="I7" s="15">
        <f>B11</f>
        <v>1101</v>
      </c>
      <c r="J7" s="15">
        <f t="shared" ref="J7:M7" si="1">C11</f>
        <v>1235</v>
      </c>
      <c r="K7" s="15">
        <f t="shared" si="1"/>
        <v>1314</v>
      </c>
      <c r="L7" s="15">
        <f t="shared" si="1"/>
        <v>1457</v>
      </c>
      <c r="M7" s="15">
        <f t="shared" si="1"/>
        <v>1511</v>
      </c>
    </row>
    <row r="9" spans="1:13">
      <c r="A9" t="s">
        <v>79</v>
      </c>
      <c r="B9" s="6">
        <f>'01_Raw_Data'!B28</f>
        <v>2277</v>
      </c>
      <c r="C9" s="6">
        <f>'01_Raw_Data'!C28</f>
        <v>2133</v>
      </c>
      <c r="D9" s="6">
        <f>'01_Raw_Data'!D28</f>
        <v>2063</v>
      </c>
      <c r="E9" s="6">
        <f>'01_Raw_Data'!E28</f>
        <v>1750</v>
      </c>
      <c r="F9" s="6">
        <f>'01_Raw_Data'!F28</f>
        <v>1957</v>
      </c>
    </row>
    <row r="10" spans="1:13" s="12" customFormat="1">
      <c r="A10" s="12" t="s">
        <v>80</v>
      </c>
      <c r="C10" s="12">
        <f>(C9/B9)-1</f>
        <v>-6.3241106719367557E-2</v>
      </c>
      <c r="D10" s="12">
        <f t="shared" ref="D10:F10" si="2">(D9/C9)-1</f>
        <v>-3.2817627754336609E-2</v>
      </c>
      <c r="E10" s="12">
        <f t="shared" si="2"/>
        <v>-0.15172079495879787</v>
      </c>
      <c r="F10" s="12">
        <f t="shared" si="2"/>
        <v>0.11828571428571433</v>
      </c>
    </row>
    <row r="11" spans="1:13">
      <c r="A11" t="s">
        <v>131</v>
      </c>
      <c r="B11" s="6">
        <f>'01_Raw_Data'!B27</f>
        <v>1101</v>
      </c>
      <c r="C11" s="6">
        <f>'01_Raw_Data'!C27</f>
        <v>1235</v>
      </c>
      <c r="D11" s="6">
        <f>'01_Raw_Data'!D27</f>
        <v>1314</v>
      </c>
      <c r="E11" s="6">
        <f>'01_Raw_Data'!E27</f>
        <v>1457</v>
      </c>
      <c r="F11" s="6">
        <f>'01_Raw_Data'!F27</f>
        <v>1511</v>
      </c>
    </row>
    <row r="12" spans="1:13" s="12" customFormat="1">
      <c r="A12" s="12" t="s">
        <v>132</v>
      </c>
      <c r="C12" s="12">
        <f>(C11/B11)-1</f>
        <v>0.12170753860127159</v>
      </c>
      <c r="D12" s="12">
        <f t="shared" ref="D12:F12" si="3">(D11/C11)-1</f>
        <v>6.3967611336032348E-2</v>
      </c>
      <c r="E12" s="12">
        <f t="shared" si="3"/>
        <v>0.10882800608828003</v>
      </c>
      <c r="F12" s="12">
        <f t="shared" si="3"/>
        <v>3.7062457103637536E-2</v>
      </c>
    </row>
    <row r="14" spans="1:13" ht="18">
      <c r="A14" s="1" t="s">
        <v>81</v>
      </c>
    </row>
    <row r="16" spans="1:13" s="12" customFormat="1">
      <c r="A16" s="12" t="s">
        <v>82</v>
      </c>
      <c r="B16" s="12">
        <f>B9/'02_Performance'!B9</f>
        <v>3.7118544600938969E-2</v>
      </c>
      <c r="C16" s="12">
        <f>C9/'02_Performance'!C9</f>
        <v>3.2653623587765225E-2</v>
      </c>
      <c r="D16" s="12">
        <f>D9/'02_Performance'!D9</f>
        <v>3.0255033950753078E-2</v>
      </c>
      <c r="E16" s="12">
        <f>E9/'02_Performance'!E9</f>
        <v>2.5030036043251901E-2</v>
      </c>
      <c r="F16" s="12">
        <f>F9/'02_Performance'!F9</f>
        <v>2.6549272845669634E-2</v>
      </c>
    </row>
    <row r="17" spans="1:6" s="12" customFormat="1">
      <c r="A17" s="12" t="s">
        <v>133</v>
      </c>
      <c r="B17" s="12">
        <f>B11/'02_Performance'!B9</f>
        <v>1.7947965571205007E-2</v>
      </c>
      <c r="C17" s="12">
        <f>C11/'02_Performance'!C9</f>
        <v>1.8906340895869692E-2</v>
      </c>
      <c r="D17" s="12">
        <f>D11/'02_Performance'!D9</f>
        <v>1.9270535439306614E-2</v>
      </c>
      <c r="E17" s="12">
        <f>E11/'02_Performance'!E9</f>
        <v>2.0839292865724585E-2</v>
      </c>
      <c r="F17" s="12">
        <f>F11/'02_Performance'!F9</f>
        <v>2.0498697634035164E-2</v>
      </c>
    </row>
    <row r="18" spans="1:6" s="12" customFormat="1">
      <c r="A18" s="12" t="s">
        <v>83</v>
      </c>
      <c r="B18" s="12">
        <f>B9/'02_Performance'!B15</f>
        <v>0.80601769911504428</v>
      </c>
      <c r="C18" s="12">
        <f>C9/'02_Performance'!C15</f>
        <v>0.85013949780789155</v>
      </c>
      <c r="D18" s="12">
        <f>D9/'02_Performance'!D15</f>
        <v>0.72923294450335807</v>
      </c>
      <c r="E18" s="12">
        <f>E9/'02_Performance'!E15</f>
        <v>0.55946291560102301</v>
      </c>
      <c r="F18" s="12">
        <f>F9/'02_Performance'!F15</f>
        <v>0.62087563451776651</v>
      </c>
    </row>
    <row r="25" spans="1:6" ht="28.8">
      <c r="A25" s="11" t="s">
        <v>85</v>
      </c>
    </row>
    <row r="27" spans="1:6">
      <c r="A27" s="16"/>
    </row>
    <row r="28" spans="1:6">
      <c r="A28" s="16"/>
    </row>
    <row r="29" spans="1:6">
      <c r="A29" s="16"/>
    </row>
    <row r="30" spans="1:6">
      <c r="A30" s="16"/>
    </row>
    <row r="31" spans="1:6">
      <c r="A31" s="16"/>
    </row>
    <row r="32" spans="1:6">
      <c r="A32" s="16"/>
    </row>
  </sheetData>
  <phoneticPr fontId="5" type="noConversion"/>
  <pageMargins left="0.7" right="0.7" top="0.75" bottom="0.75" header="0.3" footer="0.3"/>
  <ignoredErrors>
    <ignoredError sqref="C11:F11" formula="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67FB6-30FE-4397-9F50-7918DB059EE3}">
  <dimension ref="A1:I39"/>
  <sheetViews>
    <sheetView showGridLines="0" topLeftCell="A25" zoomScale="91" workbookViewId="0">
      <selection activeCell="F31" sqref="F31"/>
    </sheetView>
  </sheetViews>
  <sheetFormatPr defaultRowHeight="14.4"/>
  <cols>
    <col min="1" max="1" width="28.109375" customWidth="1"/>
    <col min="2" max="2" width="9.77734375" customWidth="1"/>
    <col min="3" max="6" width="9.88671875" bestFit="1" customWidth="1"/>
    <col min="8" max="8" width="21.88671875" customWidth="1"/>
    <col min="9" max="9" width="15" customWidth="1"/>
  </cols>
  <sheetData>
    <row r="1" spans="1:9" ht="31.2">
      <c r="A1" s="22" t="s">
        <v>86</v>
      </c>
    </row>
    <row r="2" spans="1:9" ht="21">
      <c r="A2" s="8" t="s">
        <v>87</v>
      </c>
    </row>
    <row r="4" spans="1:9" ht="18">
      <c r="A4" s="46" t="s">
        <v>88</v>
      </c>
      <c r="B4" s="43" t="s">
        <v>46</v>
      </c>
      <c r="C4" s="43" t="s">
        <v>47</v>
      </c>
      <c r="D4" s="43" t="s">
        <v>48</v>
      </c>
      <c r="E4" s="43" t="s">
        <v>49</v>
      </c>
      <c r="F4" s="43" t="s">
        <v>50</v>
      </c>
      <c r="H4" s="1" t="s">
        <v>91</v>
      </c>
    </row>
    <row r="5" spans="1:9">
      <c r="A5" s="23"/>
    </row>
    <row r="6" spans="1:9">
      <c r="A6" s="24" t="s">
        <v>37</v>
      </c>
    </row>
    <row r="7" spans="1:9">
      <c r="A7" s="23"/>
      <c r="H7" s="13" t="s">
        <v>92</v>
      </c>
      <c r="I7" s="13" t="s">
        <v>91</v>
      </c>
    </row>
    <row r="8" spans="1:9" s="12" customFormat="1">
      <c r="A8" s="25" t="s">
        <v>38</v>
      </c>
      <c r="B8" s="12">
        <f>'02_Performance'!B23</f>
        <v>4.1731872717788214E-2</v>
      </c>
      <c r="C8" s="12">
        <f>'02_Performance'!C23</f>
        <v>2.1585377055203452E-2</v>
      </c>
      <c r="D8" s="12">
        <f>'02_Performance'!D23</f>
        <v>4.1371522430961913E-2</v>
      </c>
      <c r="E8" s="12">
        <f>'02_Performance'!E23</f>
        <v>3.8775101550431949E-2</v>
      </c>
      <c r="F8" s="12">
        <f>'02_Performance'!F23</f>
        <v>4.0495441719123074E-2</v>
      </c>
      <c r="H8" s="10" t="s">
        <v>51</v>
      </c>
      <c r="I8" s="10" t="s">
        <v>93</v>
      </c>
    </row>
    <row r="9" spans="1:9" s="12" customFormat="1" ht="29.4" customHeight="1">
      <c r="A9" s="25" t="s">
        <v>39</v>
      </c>
      <c r="B9" s="12">
        <f>'02_Performance'!B24</f>
        <v>4.6051773604590507E-2</v>
      </c>
      <c r="C9" s="12">
        <f>'02_Performance'!C24</f>
        <v>3.840972413581948E-2</v>
      </c>
      <c r="D9" s="12">
        <f>'02_Performance'!D24</f>
        <v>4.1488846847639579E-2</v>
      </c>
      <c r="E9" s="12">
        <f>'02_Performance'!E24</f>
        <v>4.4739401567595399E-2</v>
      </c>
      <c r="F9" s="12">
        <f>'02_Performance'!F24</f>
        <v>4.2761015845452575E-2</v>
      </c>
      <c r="H9" s="10" t="s">
        <v>52</v>
      </c>
      <c r="I9" s="10" t="s">
        <v>94</v>
      </c>
    </row>
    <row r="10" spans="1:9" s="12" customFormat="1">
      <c r="A10" s="25" t="s">
        <v>40</v>
      </c>
      <c r="B10" s="12">
        <f>'02_Performance'!B25</f>
        <v>2.4827203964527908E-2</v>
      </c>
      <c r="C10" s="12">
        <f>'02_Performance'!C25</f>
        <v>1.0073175959094944E-2</v>
      </c>
      <c r="D10" s="12">
        <f>'02_Performance'!D25</f>
        <v>2.5870033877425317E-2</v>
      </c>
      <c r="E10" s="12">
        <f>'02_Performance'!E25</f>
        <v>2.2941815893357743E-2</v>
      </c>
      <c r="F10" s="12">
        <f>'02_Performance'!F25</f>
        <v>2.4242999782939006E-2</v>
      </c>
      <c r="H10" s="10" t="s">
        <v>53</v>
      </c>
      <c r="I10" s="10" t="s">
        <v>95</v>
      </c>
    </row>
    <row r="11" spans="1:9" ht="20.399999999999999" customHeight="1">
      <c r="A11" s="23"/>
      <c r="H11" s="10" t="s">
        <v>64</v>
      </c>
      <c r="I11" s="10" t="s">
        <v>96</v>
      </c>
    </row>
    <row r="12" spans="1:9">
      <c r="A12" s="26" t="s">
        <v>63</v>
      </c>
      <c r="H12" s="10" t="s">
        <v>65</v>
      </c>
      <c r="I12" s="10" t="s">
        <v>96</v>
      </c>
    </row>
    <row r="13" spans="1:9" ht="21" customHeight="1">
      <c r="A13" s="23"/>
      <c r="H13" s="10" t="s">
        <v>66</v>
      </c>
      <c r="I13" s="10" t="s">
        <v>97</v>
      </c>
    </row>
    <row r="14" spans="1:9" ht="28.2" customHeight="1">
      <c r="A14" s="23" t="s">
        <v>64</v>
      </c>
      <c r="B14" s="4">
        <f>'03_Balance_Sheet'!B26</f>
        <v>0.75079872204472842</v>
      </c>
      <c r="C14" s="4">
        <f>'03_Balance_Sheet'!C26</f>
        <v>0.70806360022714365</v>
      </c>
      <c r="D14" s="4">
        <f>'03_Balance_Sheet'!D26</f>
        <v>0.81115670183665489</v>
      </c>
      <c r="E14" s="4">
        <f>'03_Balance_Sheet'!E26</f>
        <v>0.64081041968162089</v>
      </c>
      <c r="F14" s="4">
        <f>'03_Balance_Sheet'!F26</f>
        <v>0.59201619094144742</v>
      </c>
      <c r="H14" s="10" t="s">
        <v>68</v>
      </c>
      <c r="I14" s="10" t="s">
        <v>98</v>
      </c>
    </row>
    <row r="15" spans="1:9" ht="23.4" customHeight="1">
      <c r="A15" s="23" t="s">
        <v>65</v>
      </c>
      <c r="B15" s="4">
        <f>'03_Balance_Sheet'!B27</f>
        <v>0.60427237987846893</v>
      </c>
      <c r="C15" s="4">
        <f>'03_Balance_Sheet'!C27</f>
        <v>0.56553094832481543</v>
      </c>
      <c r="D15" s="4">
        <f>'03_Balance_Sheet'!D27</f>
        <v>0.68244431418522855</v>
      </c>
      <c r="E15" s="4">
        <f>'03_Balance_Sheet'!E27</f>
        <v>0.44052098408104196</v>
      </c>
      <c r="F15" s="4">
        <f>'03_Balance_Sheet'!F27</f>
        <v>0.39381673529206507</v>
      </c>
      <c r="H15" s="10" t="s">
        <v>72</v>
      </c>
      <c r="I15" s="10" t="s">
        <v>98</v>
      </c>
    </row>
    <row r="16" spans="1:9">
      <c r="A16" s="23" t="s">
        <v>66</v>
      </c>
      <c r="B16" s="4">
        <f>'03_Balance_Sheet'!B28</f>
        <v>0.14690221136377873</v>
      </c>
      <c r="C16" s="4">
        <f>'03_Balance_Sheet'!C28</f>
        <v>0.13997728563316297</v>
      </c>
      <c r="D16" s="4">
        <f>'03_Balance_Sheet'!D28</f>
        <v>0.11430246189917936</v>
      </c>
      <c r="E16" s="4">
        <f>'03_Balance_Sheet'!E28</f>
        <v>0.16316931982633864</v>
      </c>
      <c r="F16" s="4">
        <f>'03_Balance_Sheet'!F28</f>
        <v>0.17551817991485799</v>
      </c>
      <c r="G16" s="4"/>
      <c r="H16" s="10" t="s">
        <v>73</v>
      </c>
      <c r="I16" s="10" t="s">
        <v>96</v>
      </c>
    </row>
    <row r="17" spans="1:9" ht="22.8" customHeight="1">
      <c r="A17" s="23"/>
      <c r="H17" s="10" t="s">
        <v>99</v>
      </c>
      <c r="I17" s="10" t="s">
        <v>96</v>
      </c>
    </row>
    <row r="18" spans="1:9" ht="25.8" customHeight="1">
      <c r="A18" s="27" t="s">
        <v>89</v>
      </c>
      <c r="H18" s="10" t="s">
        <v>134</v>
      </c>
      <c r="I18" s="10" t="s">
        <v>98</v>
      </c>
    </row>
    <row r="19" spans="1:9" ht="29.4" customHeight="1">
      <c r="A19" s="23"/>
      <c r="H19" s="10" t="s">
        <v>100</v>
      </c>
      <c r="I19" s="10" t="s">
        <v>96</v>
      </c>
    </row>
    <row r="20" spans="1:9">
      <c r="A20" s="23" t="s">
        <v>68</v>
      </c>
      <c r="B20" s="4">
        <f>'03_Balance_Sheet'!B32</f>
        <v>0.47332395087001022</v>
      </c>
      <c r="C20" s="4">
        <f>'03_Balance_Sheet'!C32</f>
        <v>0.60130879345603272</v>
      </c>
      <c r="D20" s="4">
        <f>'03_Balance_Sheet'!D32</f>
        <v>0.61885983711958847</v>
      </c>
      <c r="E20" s="4">
        <f>'03_Balance_Sheet'!E32</f>
        <v>0.59595266678099812</v>
      </c>
      <c r="F20" s="4">
        <f>'03_Balance_Sheet'!F32</f>
        <v>0.62808763201536177</v>
      </c>
    </row>
    <row r="21" spans="1:9" s="12" customFormat="1">
      <c r="A21" s="25" t="s">
        <v>69</v>
      </c>
      <c r="B21" s="12">
        <f>'03_Balance_Sheet'!B33</f>
        <v>0.68186905997517144</v>
      </c>
      <c r="C21" s="12">
        <f>'03_Balance_Sheet'!C33</f>
        <v>0.73347431760704629</v>
      </c>
      <c r="D21" s="12">
        <f>'03_Balance_Sheet'!D33</f>
        <v>0.75201428601798503</v>
      </c>
      <c r="E21" s="12">
        <f>'03_Balance_Sheet'!E33</f>
        <v>0.70012856775520704</v>
      </c>
      <c r="F21" s="12">
        <f>'03_Balance_Sheet'!F33</f>
        <v>0.70975832193342459</v>
      </c>
    </row>
    <row r="22" spans="1:9" s="12" customFormat="1">
      <c r="A22" s="25" t="s">
        <v>70</v>
      </c>
      <c r="B22" s="12">
        <f>'03_Balance_Sheet'!B34</f>
        <v>0.31813094002482856</v>
      </c>
      <c r="C22" s="12">
        <f>'03_Balance_Sheet'!C34</f>
        <v>0.26652568239295371</v>
      </c>
      <c r="D22" s="12">
        <f>'03_Balance_Sheet'!D34</f>
        <v>0.24798571398201491</v>
      </c>
      <c r="E22" s="12">
        <f>'03_Balance_Sheet'!E34</f>
        <v>0.29987143224479301</v>
      </c>
      <c r="F22" s="12">
        <f>'03_Balance_Sheet'!F34</f>
        <v>0.29024167806657547</v>
      </c>
    </row>
    <row r="23" spans="1:9">
      <c r="A23" s="23"/>
    </row>
    <row r="24" spans="1:9">
      <c r="A24" s="28" t="s">
        <v>20</v>
      </c>
    </row>
    <row r="25" spans="1:9">
      <c r="A25" s="23"/>
    </row>
    <row r="26" spans="1:9" s="12" customFormat="1">
      <c r="A26" s="25" t="s">
        <v>82</v>
      </c>
      <c r="B26" s="12">
        <f>'04_Cash_Flow'!B16</f>
        <v>3.7118544600938969E-2</v>
      </c>
      <c r="C26" s="12">
        <f>'04_Cash_Flow'!C16</f>
        <v>3.2653623587765225E-2</v>
      </c>
      <c r="D26" s="12">
        <f>'04_Cash_Flow'!D16</f>
        <v>3.0255033950753078E-2</v>
      </c>
      <c r="E26" s="12">
        <f>'04_Cash_Flow'!E16</f>
        <v>2.5030036043251901E-2</v>
      </c>
      <c r="F26" s="12">
        <f>'04_Cash_Flow'!F16</f>
        <v>2.6549272845669634E-2</v>
      </c>
    </row>
    <row r="27" spans="1:9" s="12" customFormat="1">
      <c r="A27" s="25" t="s">
        <v>133</v>
      </c>
      <c r="B27" s="12">
        <f>'04_Cash_Flow'!B17</f>
        <v>1.7947965571205007E-2</v>
      </c>
      <c r="C27" s="12">
        <f>'04_Cash_Flow'!C17</f>
        <v>1.8906340895869692E-2</v>
      </c>
      <c r="D27" s="12">
        <f>'04_Cash_Flow'!D17</f>
        <v>1.9270535439306614E-2</v>
      </c>
      <c r="E27" s="12">
        <f>'04_Cash_Flow'!E17</f>
        <v>2.0839292865724585E-2</v>
      </c>
      <c r="F27" s="12">
        <f>'04_Cash_Flow'!F17</f>
        <v>2.0498697634035164E-2</v>
      </c>
    </row>
    <row r="28" spans="1:9" s="12" customFormat="1">
      <c r="A28" s="25" t="s">
        <v>90</v>
      </c>
      <c r="B28" s="12">
        <f>'04_Cash_Flow'!B18</f>
        <v>0.80601769911504428</v>
      </c>
      <c r="C28" s="12">
        <f>'04_Cash_Flow'!C18</f>
        <v>0.85013949780789155</v>
      </c>
      <c r="D28" s="12">
        <f>'04_Cash_Flow'!D18</f>
        <v>0.72923294450335807</v>
      </c>
      <c r="E28" s="12">
        <f>'04_Cash_Flow'!E18</f>
        <v>0.55946291560102301</v>
      </c>
      <c r="F28" s="12">
        <f>'04_Cash_Flow'!F18</f>
        <v>0.62087563451776651</v>
      </c>
    </row>
    <row r="32" spans="1:9" ht="23.4">
      <c r="A32" s="9" t="s">
        <v>101</v>
      </c>
    </row>
    <row r="34" spans="1:1">
      <c r="A34" s="16"/>
    </row>
    <row r="35" spans="1:1">
      <c r="A35" s="16"/>
    </row>
    <row r="36" spans="1:1">
      <c r="A36" s="16"/>
    </row>
    <row r="37" spans="1:1">
      <c r="A37" s="16"/>
    </row>
    <row r="38" spans="1:1">
      <c r="A38" s="16"/>
    </row>
    <row r="39" spans="1:1">
      <c r="A39" s="16"/>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6F400-F168-4DB3-9E1A-78C024E50300}">
  <dimension ref="A1:E45"/>
  <sheetViews>
    <sheetView showGridLines="0" tabSelected="1" zoomScale="66" zoomScaleNormal="66" workbookViewId="0">
      <selection activeCell="F38" sqref="F38"/>
    </sheetView>
  </sheetViews>
  <sheetFormatPr defaultRowHeight="14.4"/>
  <cols>
    <col min="1" max="1" width="21.88671875" customWidth="1"/>
    <col min="2" max="2" width="27" customWidth="1"/>
    <col min="3" max="3" width="15.33203125" customWidth="1"/>
    <col min="4" max="4" width="25.21875" customWidth="1"/>
  </cols>
  <sheetData>
    <row r="1" spans="1:4" ht="25.8">
      <c r="A1" s="18" t="s">
        <v>105</v>
      </c>
    </row>
    <row r="2" spans="1:4" ht="25.8">
      <c r="A2" s="18" t="s">
        <v>106</v>
      </c>
    </row>
    <row r="3" spans="1:4" ht="25.8">
      <c r="A3" s="18" t="s">
        <v>107</v>
      </c>
    </row>
    <row r="4" spans="1:4" ht="7.8" customHeight="1">
      <c r="A4" s="18"/>
    </row>
    <row r="5" spans="1:4" ht="26.4" customHeight="1">
      <c r="A5" s="29" t="s">
        <v>135</v>
      </c>
      <c r="B5" s="29" t="s">
        <v>136</v>
      </c>
      <c r="C5" s="29" t="s">
        <v>137</v>
      </c>
      <c r="D5" s="29" t="s">
        <v>52</v>
      </c>
    </row>
    <row r="6" spans="1:4" ht="23.4">
      <c r="A6" s="30">
        <f>'02_Performance'!F9/1000</f>
        <v>73.712000000000003</v>
      </c>
      <c r="B6" s="31">
        <f>'02_Performance'!F15/1000</f>
        <v>3.1520000000000001</v>
      </c>
      <c r="C6" s="31">
        <f>'04_Cash_Flow'!F9/1000</f>
        <v>1.9570000000000001</v>
      </c>
      <c r="D6" s="32">
        <f>'02_Performance'!F24</f>
        <v>4.2761015845452575E-2</v>
      </c>
    </row>
    <row r="7" spans="1:4">
      <c r="A7" s="34">
        <f>'02_Performance'!F10</f>
        <v>5.429372389724807E-2</v>
      </c>
      <c r="B7" s="34">
        <f>'02_Performance'!F16</f>
        <v>7.6726342710997653E-3</v>
      </c>
      <c r="C7" s="34">
        <f>'04_Cash_Flow'!F10</f>
        <v>0.11828571428571433</v>
      </c>
      <c r="D7" s="35">
        <f>('02_Performance'!F24-'02_Performance'!E24)*100</f>
        <v>-0.19783857221428239</v>
      </c>
    </row>
    <row r="29" spans="4:5" ht="18">
      <c r="D29" t="s">
        <v>108</v>
      </c>
    </row>
    <row r="31" spans="4:5">
      <c r="D31" t="s">
        <v>110</v>
      </c>
      <c r="E31" s="4">
        <f>'03_Balance_Sheet'!F26</f>
        <v>0.59201619094144742</v>
      </c>
    </row>
    <row r="32" spans="4:5">
      <c r="D32" t="s">
        <v>109</v>
      </c>
      <c r="E32" s="36">
        <f>'03_Balance_Sheet'!F32</f>
        <v>0.62808763201536177</v>
      </c>
    </row>
    <row r="33" spans="1:5">
      <c r="D33" t="s">
        <v>99</v>
      </c>
      <c r="E33" s="12">
        <f>'04_Cash_Flow'!$F$16</f>
        <v>2.6549272845669634E-2</v>
      </c>
    </row>
    <row r="34" spans="1:5">
      <c r="D34" t="s">
        <v>52</v>
      </c>
      <c r="E34" s="12">
        <f>'02_Performance'!$F$24</f>
        <v>4.2761015845452575E-2</v>
      </c>
    </row>
    <row r="38" spans="1:5" ht="18">
      <c r="A38" s="33" t="s">
        <v>111</v>
      </c>
    </row>
    <row r="40" spans="1:5" ht="15.6">
      <c r="A40" s="41" t="s">
        <v>140</v>
      </c>
    </row>
    <row r="41" spans="1:5" ht="15.6">
      <c r="A41" s="41" t="s">
        <v>141</v>
      </c>
    </row>
    <row r="42" spans="1:5" ht="15.6">
      <c r="A42" s="41" t="s">
        <v>142</v>
      </c>
    </row>
    <row r="43" spans="1:5" ht="15.6">
      <c r="A43" s="41" t="s">
        <v>143</v>
      </c>
    </row>
    <row r="45" spans="1:5">
      <c r="B45" s="16" t="s">
        <v>57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7B1C-0F22-4EEF-A362-23E901B96466}">
  <dimension ref="A1:H108"/>
  <sheetViews>
    <sheetView showGridLines="0" zoomScale="70" zoomScaleNormal="70" workbookViewId="0">
      <selection activeCell="F78" sqref="F78"/>
    </sheetView>
  </sheetViews>
  <sheetFormatPr defaultRowHeight="14.4"/>
  <cols>
    <col min="1" max="1" width="31.88671875" customWidth="1"/>
    <col min="2" max="2" width="29.77734375" customWidth="1"/>
  </cols>
  <sheetData>
    <row r="1" spans="1:6" ht="28.8">
      <c r="A1" s="11" t="s">
        <v>112</v>
      </c>
      <c r="B1" s="38"/>
      <c r="C1" s="38"/>
      <c r="D1" s="38"/>
      <c r="E1" s="38"/>
      <c r="F1" s="38"/>
    </row>
    <row r="2" spans="1:6" ht="23.4">
      <c r="A2" s="9" t="s">
        <v>113</v>
      </c>
    </row>
    <row r="3" spans="1:6">
      <c r="A3" s="16" t="s">
        <v>31</v>
      </c>
    </row>
    <row r="6" spans="1:6" ht="23.4">
      <c r="A6" s="9" t="s">
        <v>114</v>
      </c>
    </row>
    <row r="20" spans="1:1" ht="23.4">
      <c r="A20" s="9" t="s">
        <v>115</v>
      </c>
    </row>
    <row r="44" spans="1:1" ht="23.4">
      <c r="A44" s="9" t="s">
        <v>116</v>
      </c>
    </row>
    <row r="70" spans="1:2" ht="23.4">
      <c r="A70" s="9" t="s">
        <v>117</v>
      </c>
    </row>
    <row r="72" spans="1:2" ht="21.6" customHeight="1">
      <c r="A72" s="39" t="s">
        <v>118</v>
      </c>
      <c r="B72" s="39" t="s">
        <v>119</v>
      </c>
    </row>
    <row r="73" spans="1:2" ht="18" customHeight="1">
      <c r="A73" s="40" t="s">
        <v>54</v>
      </c>
      <c r="B73" s="40" t="s">
        <v>120</v>
      </c>
    </row>
    <row r="74" spans="1:2" ht="29.4" customHeight="1">
      <c r="A74" s="40" t="s">
        <v>102</v>
      </c>
      <c r="B74" s="40" t="s">
        <v>121</v>
      </c>
    </row>
    <row r="75" spans="1:2" ht="27" customHeight="1">
      <c r="A75" s="40" t="s">
        <v>104</v>
      </c>
      <c r="B75" s="40" t="s">
        <v>122</v>
      </c>
    </row>
    <row r="76" spans="1:2" ht="22.8" customHeight="1">
      <c r="A76" s="40" t="s">
        <v>103</v>
      </c>
      <c r="B76" s="40" t="s">
        <v>123</v>
      </c>
    </row>
    <row r="77" spans="1:2" ht="19.2" customHeight="1">
      <c r="A77" s="40" t="s">
        <v>124</v>
      </c>
      <c r="B77" s="40" t="s">
        <v>125</v>
      </c>
    </row>
    <row r="78" spans="1:2" ht="26.4" customHeight="1">
      <c r="A78" s="40" t="s">
        <v>126</v>
      </c>
      <c r="B78" s="40" t="s">
        <v>98</v>
      </c>
    </row>
    <row r="79" spans="1:2" ht="30" customHeight="1">
      <c r="A79" s="40" t="s">
        <v>127</v>
      </c>
      <c r="B79" s="40" t="s">
        <v>128</v>
      </c>
    </row>
    <row r="84" spans="1:1" ht="23.4">
      <c r="A84" s="9" t="s">
        <v>129</v>
      </c>
    </row>
    <row r="104" spans="1:8" ht="15.6">
      <c r="A104" s="19" t="s">
        <v>57</v>
      </c>
      <c r="B104" s="37"/>
      <c r="C104" s="19"/>
      <c r="D104" s="37"/>
      <c r="E104" s="37"/>
      <c r="F104" s="37"/>
      <c r="G104" s="37"/>
      <c r="H104" s="37"/>
    </row>
    <row r="105" spans="1:8" ht="15.6">
      <c r="A105" s="37"/>
      <c r="B105" s="37"/>
      <c r="C105" s="37"/>
      <c r="D105" s="37"/>
      <c r="E105" s="37"/>
      <c r="F105" s="37"/>
      <c r="G105" s="37"/>
      <c r="H105" s="37"/>
    </row>
    <row r="106" spans="1:8" ht="15.6">
      <c r="A106" s="37"/>
      <c r="B106" s="37"/>
      <c r="C106" s="37"/>
      <c r="D106" s="37"/>
      <c r="E106" s="37"/>
      <c r="F106" s="37"/>
      <c r="G106" s="37"/>
      <c r="H106" s="37"/>
    </row>
    <row r="107" spans="1:8" ht="15.6">
      <c r="A107" s="37"/>
      <c r="B107" s="37"/>
      <c r="C107" s="37"/>
      <c r="D107" s="37"/>
      <c r="E107" s="37"/>
      <c r="F107" s="37"/>
      <c r="G107" s="37"/>
      <c r="H107" s="37"/>
    </row>
    <row r="108" spans="1:8" ht="15.6">
      <c r="A108" s="41" t="s">
        <v>130</v>
      </c>
      <c r="B108" s="37"/>
      <c r="C108" s="37"/>
      <c r="D108" s="37"/>
      <c r="E108" s="37"/>
      <c r="F108" s="37"/>
      <c r="G108" s="37"/>
      <c r="H108" s="3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01_Raw_Data</vt:lpstr>
      <vt:lpstr>02_Performance</vt:lpstr>
      <vt:lpstr>03_Balance_Sheet</vt:lpstr>
      <vt:lpstr>04_Cash_Flow</vt:lpstr>
      <vt:lpstr>05_Ratios</vt:lpstr>
      <vt:lpstr>06_Dashboard</vt:lpstr>
      <vt:lpstr>07_Key_Findings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Bada</dc:creator>
  <cp:lastModifiedBy>Gabriel Bada</cp:lastModifiedBy>
  <dcterms:created xsi:type="dcterms:W3CDTF">2026-09-03T23:11:29Z</dcterms:created>
  <dcterms:modified xsi:type="dcterms:W3CDTF">2026-09-09T13:37:10Z</dcterms:modified>
</cp:coreProperties>
</file>